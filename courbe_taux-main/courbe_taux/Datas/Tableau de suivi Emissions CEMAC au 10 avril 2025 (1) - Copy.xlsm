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ISE3\GT\streamlit app\courbe_taux-main\courbe_taux\Datas\"/>
    </mc:Choice>
  </mc:AlternateContent>
  <xr:revisionPtr revIDLastSave="0" documentId="13_ncr:1_{A01EAF20-9C96-4EBF-BCDD-FF996946CC2C}" xr6:coauthVersionLast="47" xr6:coauthVersionMax="47" xr10:uidLastSave="{00000000-0000-0000-0000-000000000000}"/>
  <bookViews>
    <workbookView xWindow="30" yWindow="30" windowWidth="20460" windowHeight="11490" firstSheet="1" activeTab="3" xr2:uid="{00000000-000D-0000-FFFF-FFFF00000000}"/>
  </bookViews>
  <sheets>
    <sheet name="Accueil" sheetId="7" r:id="rId1"/>
    <sheet name="formulaire" sheetId="6" r:id="rId2"/>
    <sheet name="Filtrage" sheetId="9" r:id="rId3"/>
    <sheet name="Data" sheetId="8" r:id="rId4"/>
    <sheet name="Liste" sheetId="5" r:id="rId5"/>
  </sheets>
  <definedNames>
    <definedName name="_xlnm._FilterDatabase" localSheetId="3" hidden="1">Data!$A$1:$L$10000</definedName>
    <definedName name="_xlnm._FilterDatabase" localSheetId="2" hidden="1">Filtrage!$A$9:$L$28</definedName>
    <definedName name="_xlnm.Criteria" localSheetId="2">Filtrage!$T$5:$V$6</definedName>
    <definedName name="_xlnm.Extract" localSheetId="2">Filtrage!$A$9:$L$9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9" l="1"/>
  <c r="F1001" i="8"/>
  <c r="F1000" i="8"/>
  <c r="E1000" i="8" s="1"/>
  <c r="F999" i="8"/>
  <c r="E999" i="8" s="1"/>
  <c r="F998" i="8"/>
  <c r="D998" i="8" s="1"/>
  <c r="F993" i="8"/>
  <c r="E993" i="8" s="1"/>
  <c r="F834" i="8"/>
  <c r="E834" i="8" s="1"/>
  <c r="F830" i="8"/>
  <c r="E830" i="8" s="1"/>
  <c r="F820" i="8"/>
  <c r="E820" i="8" s="1"/>
  <c r="V6" i="9"/>
  <c r="U6" i="9"/>
  <c r="T6" i="9"/>
  <c r="E2451" i="8"/>
  <c r="D2451" i="8"/>
  <c r="E2450" i="8"/>
  <c r="D2450" i="8"/>
  <c r="E2449" i="8"/>
  <c r="D2449" i="8"/>
  <c r="E2448" i="8"/>
  <c r="D2448" i="8"/>
  <c r="E2447" i="8"/>
  <c r="D2447" i="8"/>
  <c r="E2446" i="8"/>
  <c r="D2446" i="8"/>
  <c r="E2445" i="8"/>
  <c r="D2445" i="8"/>
  <c r="E2444" i="8"/>
  <c r="D2444" i="8"/>
  <c r="E2443" i="8"/>
  <c r="D2443" i="8"/>
  <c r="E2442" i="8"/>
  <c r="D2442" i="8"/>
  <c r="E2441" i="8"/>
  <c r="D2441" i="8"/>
  <c r="E2440" i="8"/>
  <c r="D2440" i="8"/>
  <c r="E2439" i="8"/>
  <c r="D2439" i="8"/>
  <c r="E2438" i="8"/>
  <c r="D2438" i="8"/>
  <c r="E2437" i="8"/>
  <c r="D2437" i="8"/>
  <c r="E2436" i="8"/>
  <c r="D2436" i="8"/>
  <c r="E2435" i="8"/>
  <c r="D2435" i="8"/>
  <c r="E2434" i="8"/>
  <c r="D2434" i="8"/>
  <c r="E2433" i="8"/>
  <c r="D2433" i="8"/>
  <c r="E2432" i="8"/>
  <c r="D2432" i="8"/>
  <c r="E2431" i="8"/>
  <c r="D2431" i="8"/>
  <c r="E2430" i="8"/>
  <c r="D2430" i="8"/>
  <c r="E2429" i="8"/>
  <c r="D2429" i="8"/>
  <c r="E2428" i="8"/>
  <c r="D2428" i="8"/>
  <c r="E2427" i="8"/>
  <c r="D2427" i="8"/>
  <c r="E2426" i="8"/>
  <c r="D2426" i="8"/>
  <c r="E2425" i="8"/>
  <c r="D2425" i="8"/>
  <c r="E2424" i="8"/>
  <c r="D2424" i="8"/>
  <c r="E2423" i="8"/>
  <c r="D2423" i="8"/>
  <c r="E2422" i="8"/>
  <c r="D2422" i="8"/>
  <c r="E2421" i="8"/>
  <c r="D2421" i="8"/>
  <c r="E2420" i="8"/>
  <c r="D2420" i="8"/>
  <c r="E2419" i="8"/>
  <c r="D2419" i="8"/>
  <c r="E2418" i="8"/>
  <c r="D2418" i="8"/>
  <c r="E2417" i="8"/>
  <c r="D2417" i="8"/>
  <c r="E2416" i="8"/>
  <c r="D2416" i="8"/>
  <c r="E2415" i="8"/>
  <c r="D2415" i="8"/>
  <c r="E2414" i="8"/>
  <c r="D2414" i="8"/>
  <c r="E2413" i="8"/>
  <c r="D2413" i="8"/>
  <c r="E2412" i="8"/>
  <c r="D2412" i="8"/>
  <c r="E2411" i="8"/>
  <c r="D2411" i="8"/>
  <c r="E2410" i="8"/>
  <c r="D2410" i="8"/>
  <c r="E2409" i="8"/>
  <c r="D2409" i="8"/>
  <c r="E2408" i="8"/>
  <c r="D2408" i="8"/>
  <c r="E2407" i="8"/>
  <c r="D2407" i="8"/>
  <c r="E2406" i="8"/>
  <c r="D2406" i="8"/>
  <c r="E2405" i="8"/>
  <c r="D2405" i="8"/>
  <c r="E2404" i="8"/>
  <c r="D2404" i="8"/>
  <c r="E2403" i="8"/>
  <c r="D2403" i="8"/>
  <c r="E2402" i="8"/>
  <c r="D2402" i="8"/>
  <c r="E2401" i="8"/>
  <c r="D2401" i="8"/>
  <c r="E2400" i="8"/>
  <c r="D2400" i="8"/>
  <c r="E2399" i="8"/>
  <c r="D2399" i="8"/>
  <c r="E2398" i="8"/>
  <c r="D2398" i="8"/>
  <c r="E2397" i="8"/>
  <c r="D2397" i="8"/>
  <c r="E2396" i="8"/>
  <c r="D2396" i="8"/>
  <c r="E2395" i="8"/>
  <c r="D2395" i="8"/>
  <c r="E2394" i="8"/>
  <c r="D2394" i="8"/>
  <c r="E2393" i="8"/>
  <c r="D2393" i="8"/>
  <c r="E2392" i="8"/>
  <c r="D2392" i="8"/>
  <c r="E2391" i="8"/>
  <c r="D2391" i="8"/>
  <c r="E2390" i="8"/>
  <c r="D2390" i="8"/>
  <c r="E2389" i="8"/>
  <c r="D2389" i="8"/>
  <c r="E2388" i="8"/>
  <c r="D2388" i="8"/>
  <c r="E2387" i="8"/>
  <c r="D2387" i="8"/>
  <c r="E2386" i="8"/>
  <c r="D2386" i="8"/>
  <c r="E2385" i="8"/>
  <c r="D2385" i="8"/>
  <c r="E2384" i="8"/>
  <c r="D2384" i="8"/>
  <c r="E2383" i="8"/>
  <c r="D2383" i="8"/>
  <c r="E2382" i="8"/>
  <c r="D2382" i="8"/>
  <c r="E2381" i="8"/>
  <c r="D2381" i="8"/>
  <c r="E2380" i="8"/>
  <c r="D2380" i="8"/>
  <c r="E2379" i="8"/>
  <c r="D2379" i="8"/>
  <c r="E2378" i="8"/>
  <c r="D2378" i="8"/>
  <c r="E2377" i="8"/>
  <c r="D2377" i="8"/>
  <c r="E2376" i="8"/>
  <c r="D2376" i="8"/>
  <c r="E2375" i="8"/>
  <c r="D2375" i="8"/>
  <c r="E2374" i="8"/>
  <c r="D2374" i="8"/>
  <c r="E2373" i="8"/>
  <c r="D2373" i="8"/>
  <c r="E2372" i="8"/>
  <c r="D2372" i="8"/>
  <c r="E2371" i="8"/>
  <c r="D2371" i="8"/>
  <c r="E2370" i="8"/>
  <c r="D2370" i="8"/>
  <c r="E2369" i="8"/>
  <c r="D2369" i="8"/>
  <c r="E2368" i="8"/>
  <c r="D2368" i="8"/>
  <c r="E2367" i="8"/>
  <c r="D2367" i="8"/>
  <c r="E2366" i="8"/>
  <c r="D2366" i="8"/>
  <c r="E2365" i="8"/>
  <c r="D2365" i="8"/>
  <c r="E2364" i="8"/>
  <c r="D2364" i="8"/>
  <c r="E2363" i="8"/>
  <c r="D2363" i="8"/>
  <c r="E2362" i="8"/>
  <c r="D2362" i="8"/>
  <c r="E2361" i="8"/>
  <c r="D2361" i="8"/>
  <c r="E2360" i="8"/>
  <c r="D2360" i="8"/>
  <c r="E2359" i="8"/>
  <c r="D2359" i="8"/>
  <c r="E2358" i="8"/>
  <c r="D2358" i="8"/>
  <c r="E2357" i="8"/>
  <c r="D2357" i="8"/>
  <c r="E2356" i="8"/>
  <c r="D2356" i="8"/>
  <c r="E2355" i="8"/>
  <c r="D2355" i="8"/>
  <c r="E2354" i="8"/>
  <c r="D2354" i="8"/>
  <c r="E2353" i="8"/>
  <c r="D2353" i="8"/>
  <c r="E2352" i="8"/>
  <c r="D2352" i="8"/>
  <c r="E2351" i="8"/>
  <c r="D2351" i="8"/>
  <c r="E2350" i="8"/>
  <c r="D2350" i="8"/>
  <c r="E2349" i="8"/>
  <c r="D2349" i="8"/>
  <c r="E2348" i="8"/>
  <c r="D2348" i="8"/>
  <c r="E2347" i="8"/>
  <c r="D2347" i="8"/>
  <c r="E2346" i="8"/>
  <c r="D2346" i="8"/>
  <c r="E2345" i="8"/>
  <c r="D2345" i="8"/>
  <c r="E2344" i="8"/>
  <c r="D2344" i="8"/>
  <c r="E2343" i="8"/>
  <c r="D2343" i="8"/>
  <c r="E2342" i="8"/>
  <c r="D2342" i="8"/>
  <c r="E2341" i="8"/>
  <c r="D2341" i="8"/>
  <c r="E2340" i="8"/>
  <c r="D2340" i="8"/>
  <c r="E2339" i="8"/>
  <c r="D2339" i="8"/>
  <c r="E2338" i="8"/>
  <c r="D2338" i="8"/>
  <c r="E2337" i="8"/>
  <c r="D2337" i="8"/>
  <c r="E2336" i="8"/>
  <c r="D2336" i="8"/>
  <c r="E2335" i="8"/>
  <c r="D2335" i="8"/>
  <c r="E2334" i="8"/>
  <c r="D2334" i="8"/>
  <c r="E2333" i="8"/>
  <c r="D2333" i="8"/>
  <c r="E2332" i="8"/>
  <c r="D2332" i="8"/>
  <c r="E2331" i="8"/>
  <c r="D2331" i="8"/>
  <c r="E2330" i="8"/>
  <c r="D2330" i="8"/>
  <c r="E2329" i="8"/>
  <c r="D2329" i="8"/>
  <c r="E2328" i="8"/>
  <c r="D2328" i="8"/>
  <c r="E2327" i="8"/>
  <c r="D2327" i="8"/>
  <c r="E2326" i="8"/>
  <c r="D2326" i="8"/>
  <c r="E2325" i="8"/>
  <c r="D2325" i="8"/>
  <c r="E2324" i="8"/>
  <c r="D2324" i="8"/>
  <c r="E2323" i="8"/>
  <c r="D2323" i="8"/>
  <c r="E2322" i="8"/>
  <c r="D2322" i="8"/>
  <c r="E2321" i="8"/>
  <c r="D2321" i="8"/>
  <c r="E2320" i="8"/>
  <c r="D2320" i="8"/>
  <c r="E2319" i="8"/>
  <c r="D2319" i="8"/>
  <c r="E2318" i="8"/>
  <c r="D2318" i="8"/>
  <c r="E2317" i="8"/>
  <c r="D2317" i="8"/>
  <c r="E2316" i="8"/>
  <c r="D2316" i="8"/>
  <c r="E2315" i="8"/>
  <c r="D2315" i="8"/>
  <c r="E2314" i="8"/>
  <c r="D2314" i="8"/>
  <c r="E2313" i="8"/>
  <c r="D2313" i="8"/>
  <c r="E2312" i="8"/>
  <c r="D2312" i="8"/>
  <c r="E2311" i="8"/>
  <c r="D2311" i="8"/>
  <c r="E2310" i="8"/>
  <c r="D2310" i="8"/>
  <c r="E2309" i="8"/>
  <c r="D2309" i="8"/>
  <c r="E2308" i="8"/>
  <c r="D2308" i="8"/>
  <c r="E2307" i="8"/>
  <c r="D2307" i="8"/>
  <c r="E2306" i="8"/>
  <c r="D2306" i="8"/>
  <c r="E2305" i="8"/>
  <c r="D2305" i="8"/>
  <c r="E2304" i="8"/>
  <c r="D2304" i="8"/>
  <c r="E2303" i="8"/>
  <c r="D2303" i="8"/>
  <c r="E2302" i="8"/>
  <c r="D2302" i="8"/>
  <c r="E2301" i="8"/>
  <c r="D2301" i="8"/>
  <c r="E2300" i="8"/>
  <c r="D2300" i="8"/>
  <c r="E2299" i="8"/>
  <c r="D2299" i="8"/>
  <c r="E2298" i="8"/>
  <c r="D2298" i="8"/>
  <c r="E2297" i="8"/>
  <c r="D2297" i="8"/>
  <c r="E2296" i="8"/>
  <c r="D2296" i="8"/>
  <c r="E2295" i="8"/>
  <c r="D2295" i="8"/>
  <c r="E2294" i="8"/>
  <c r="D2294" i="8"/>
  <c r="E2293" i="8"/>
  <c r="D2293" i="8"/>
  <c r="E2292" i="8"/>
  <c r="D2292" i="8"/>
  <c r="E2291" i="8"/>
  <c r="D2291" i="8"/>
  <c r="E2290" i="8"/>
  <c r="D2290" i="8"/>
  <c r="E2289" i="8"/>
  <c r="D2289" i="8"/>
  <c r="E2288" i="8"/>
  <c r="D2288" i="8"/>
  <c r="E2287" i="8"/>
  <c r="D2287" i="8"/>
  <c r="E2286" i="8"/>
  <c r="D2286" i="8"/>
  <c r="E2285" i="8"/>
  <c r="D2285" i="8"/>
  <c r="E2284" i="8"/>
  <c r="D2284" i="8"/>
  <c r="E2283" i="8"/>
  <c r="D2283" i="8"/>
  <c r="E2282" i="8"/>
  <c r="D2282" i="8"/>
  <c r="E2281" i="8"/>
  <c r="D2281" i="8"/>
  <c r="E2280" i="8"/>
  <c r="D2280" i="8"/>
  <c r="E2279" i="8"/>
  <c r="D2279" i="8"/>
  <c r="E2278" i="8"/>
  <c r="D2278" i="8"/>
  <c r="E2277" i="8"/>
  <c r="D2277" i="8"/>
  <c r="E2276" i="8"/>
  <c r="D2276" i="8"/>
  <c r="E2275" i="8"/>
  <c r="D2275" i="8"/>
  <c r="E2274" i="8"/>
  <c r="D2274" i="8"/>
  <c r="E2273" i="8"/>
  <c r="D2273" i="8"/>
  <c r="E2272" i="8"/>
  <c r="D2272" i="8"/>
  <c r="E2271" i="8"/>
  <c r="D2271" i="8"/>
  <c r="E2270" i="8"/>
  <c r="D2270" i="8"/>
  <c r="E2269" i="8"/>
  <c r="D2269" i="8"/>
  <c r="E2268" i="8"/>
  <c r="D2268" i="8"/>
  <c r="E2267" i="8"/>
  <c r="D2267" i="8"/>
  <c r="E2266" i="8"/>
  <c r="D2266" i="8"/>
  <c r="E2265" i="8"/>
  <c r="D2265" i="8"/>
  <c r="E2264" i="8"/>
  <c r="D2264" i="8"/>
  <c r="E2263" i="8"/>
  <c r="D2263" i="8"/>
  <c r="E2262" i="8"/>
  <c r="D2262" i="8"/>
  <c r="E2261" i="8"/>
  <c r="D2261" i="8"/>
  <c r="E2260" i="8"/>
  <c r="D2260" i="8"/>
  <c r="E2259" i="8"/>
  <c r="D2259" i="8"/>
  <c r="E2258" i="8"/>
  <c r="D2258" i="8"/>
  <c r="E2257" i="8"/>
  <c r="D2257" i="8"/>
  <c r="E2256" i="8"/>
  <c r="D2256" i="8"/>
  <c r="E2255" i="8"/>
  <c r="D2255" i="8"/>
  <c r="E2254" i="8"/>
  <c r="D2254" i="8"/>
  <c r="E2253" i="8"/>
  <c r="D2253" i="8"/>
  <c r="E2252" i="8"/>
  <c r="D2252" i="8"/>
  <c r="E2251" i="8"/>
  <c r="D2251" i="8"/>
  <c r="E2250" i="8"/>
  <c r="D2250" i="8"/>
  <c r="E2249" i="8"/>
  <c r="D2249" i="8"/>
  <c r="E2248" i="8"/>
  <c r="D2248" i="8"/>
  <c r="E2247" i="8"/>
  <c r="D2247" i="8"/>
  <c r="E2246" i="8"/>
  <c r="D2246" i="8"/>
  <c r="E2245" i="8"/>
  <c r="D2245" i="8"/>
  <c r="E2244" i="8"/>
  <c r="D2244" i="8"/>
  <c r="E2243" i="8"/>
  <c r="D2243" i="8"/>
  <c r="E2242" i="8"/>
  <c r="D2242" i="8"/>
  <c r="E2241" i="8"/>
  <c r="D2241" i="8"/>
  <c r="E2240" i="8"/>
  <c r="D2240" i="8"/>
  <c r="E2239" i="8"/>
  <c r="D2239" i="8"/>
  <c r="E2238" i="8"/>
  <c r="D2238" i="8"/>
  <c r="E2237" i="8"/>
  <c r="D2237" i="8"/>
  <c r="E2236" i="8"/>
  <c r="D2236" i="8"/>
  <c r="E2235" i="8"/>
  <c r="D2235" i="8"/>
  <c r="E2234" i="8"/>
  <c r="D2234" i="8"/>
  <c r="E2233" i="8"/>
  <c r="D2233" i="8"/>
  <c r="E2232" i="8"/>
  <c r="D2232" i="8"/>
  <c r="E2231" i="8"/>
  <c r="D2231" i="8"/>
  <c r="E2230" i="8"/>
  <c r="D2230" i="8"/>
  <c r="E2229" i="8"/>
  <c r="D2229" i="8"/>
  <c r="E2228" i="8"/>
  <c r="D2228" i="8"/>
  <c r="E2227" i="8"/>
  <c r="D2227" i="8"/>
  <c r="E2226" i="8"/>
  <c r="D2226" i="8"/>
  <c r="E2225" i="8"/>
  <c r="D2225" i="8"/>
  <c r="E2224" i="8"/>
  <c r="D2224" i="8"/>
  <c r="E2223" i="8"/>
  <c r="D2223" i="8"/>
  <c r="E2222" i="8"/>
  <c r="D2222" i="8"/>
  <c r="E2221" i="8"/>
  <c r="D2221" i="8"/>
  <c r="E2220" i="8"/>
  <c r="D2220" i="8"/>
  <c r="E2219" i="8"/>
  <c r="D2219" i="8"/>
  <c r="E2218" i="8"/>
  <c r="D2218" i="8"/>
  <c r="E2217" i="8"/>
  <c r="D2217" i="8"/>
  <c r="E2216" i="8"/>
  <c r="D2216" i="8"/>
  <c r="E2215" i="8"/>
  <c r="D2215" i="8"/>
  <c r="E2214" i="8"/>
  <c r="D2214" i="8"/>
  <c r="E2213" i="8"/>
  <c r="D2213" i="8"/>
  <c r="E2212" i="8"/>
  <c r="D2212" i="8"/>
  <c r="E2211" i="8"/>
  <c r="D2211" i="8"/>
  <c r="E2210" i="8"/>
  <c r="D2210" i="8"/>
  <c r="E2209" i="8"/>
  <c r="D2209" i="8"/>
  <c r="E2208" i="8"/>
  <c r="D2208" i="8"/>
  <c r="E2207" i="8"/>
  <c r="D2207" i="8"/>
  <c r="E2206" i="8"/>
  <c r="D2206" i="8"/>
  <c r="E2205" i="8"/>
  <c r="D2205" i="8"/>
  <c r="E2204" i="8"/>
  <c r="D2204" i="8"/>
  <c r="E2203" i="8"/>
  <c r="D2203" i="8"/>
  <c r="E2202" i="8"/>
  <c r="D2202" i="8"/>
  <c r="E2201" i="8"/>
  <c r="D2201" i="8"/>
  <c r="E2200" i="8"/>
  <c r="D2200" i="8"/>
  <c r="E2199" i="8"/>
  <c r="D2199" i="8"/>
  <c r="E2198" i="8"/>
  <c r="D2198" i="8"/>
  <c r="E2197" i="8"/>
  <c r="D2197" i="8"/>
  <c r="E2196" i="8"/>
  <c r="D2196" i="8"/>
  <c r="E2195" i="8"/>
  <c r="D2195" i="8"/>
  <c r="E2194" i="8"/>
  <c r="D2194" i="8"/>
  <c r="E2193" i="8"/>
  <c r="D2193" i="8"/>
  <c r="E2192" i="8"/>
  <c r="D2192" i="8"/>
  <c r="E2191" i="8"/>
  <c r="D2191" i="8"/>
  <c r="E2190" i="8"/>
  <c r="D2190" i="8"/>
  <c r="E2189" i="8"/>
  <c r="D2189" i="8"/>
  <c r="E2188" i="8"/>
  <c r="D2188" i="8"/>
  <c r="E2187" i="8"/>
  <c r="D2187" i="8"/>
  <c r="E2186" i="8"/>
  <c r="D2186" i="8"/>
  <c r="E2185" i="8"/>
  <c r="D2185" i="8"/>
  <c r="E2184" i="8"/>
  <c r="D2184" i="8"/>
  <c r="E2183" i="8"/>
  <c r="D2183" i="8"/>
  <c r="E2182" i="8"/>
  <c r="D2182" i="8"/>
  <c r="E2181" i="8"/>
  <c r="D2181" i="8"/>
  <c r="E2180" i="8"/>
  <c r="D2180" i="8"/>
  <c r="E2179" i="8"/>
  <c r="D2179" i="8"/>
  <c r="E2178" i="8"/>
  <c r="D2178" i="8"/>
  <c r="E2177" i="8"/>
  <c r="D2177" i="8"/>
  <c r="E2176" i="8"/>
  <c r="D2176" i="8"/>
  <c r="E2175" i="8"/>
  <c r="D2175" i="8"/>
  <c r="E2174" i="8"/>
  <c r="D2174" i="8"/>
  <c r="E2173" i="8"/>
  <c r="D2173" i="8"/>
  <c r="E2172" i="8"/>
  <c r="D2172" i="8"/>
  <c r="E2171" i="8"/>
  <c r="D2171" i="8"/>
  <c r="E2170" i="8"/>
  <c r="D2170" i="8"/>
  <c r="E2169" i="8"/>
  <c r="D2169" i="8"/>
  <c r="E2168" i="8"/>
  <c r="D2168" i="8"/>
  <c r="E2167" i="8"/>
  <c r="D2167" i="8"/>
  <c r="E2166" i="8"/>
  <c r="D2166" i="8"/>
  <c r="E2165" i="8"/>
  <c r="D2165" i="8"/>
  <c r="E2164" i="8"/>
  <c r="D2164" i="8"/>
  <c r="E2163" i="8"/>
  <c r="D2163" i="8"/>
  <c r="E2162" i="8"/>
  <c r="D2162" i="8"/>
  <c r="E2161" i="8"/>
  <c r="D2161" i="8"/>
  <c r="E2160" i="8"/>
  <c r="D2160" i="8"/>
  <c r="E2159" i="8"/>
  <c r="D2159" i="8"/>
  <c r="E2158" i="8"/>
  <c r="D2158" i="8"/>
  <c r="E2157" i="8"/>
  <c r="D2157" i="8"/>
  <c r="E2156" i="8"/>
  <c r="D2156" i="8"/>
  <c r="E2155" i="8"/>
  <c r="D2155" i="8"/>
  <c r="E2154" i="8"/>
  <c r="D2154" i="8"/>
  <c r="E2153" i="8"/>
  <c r="D2153" i="8"/>
  <c r="E2152" i="8"/>
  <c r="D2152" i="8"/>
  <c r="E2151" i="8"/>
  <c r="D2151" i="8"/>
  <c r="E2150" i="8"/>
  <c r="D2150" i="8"/>
  <c r="E2149" i="8"/>
  <c r="D2149" i="8"/>
  <c r="E2148" i="8"/>
  <c r="D2148" i="8"/>
  <c r="E2147" i="8"/>
  <c r="D2147" i="8"/>
  <c r="E2146" i="8"/>
  <c r="D2146" i="8"/>
  <c r="E2145" i="8"/>
  <c r="D2145" i="8"/>
  <c r="E2144" i="8"/>
  <c r="D2144" i="8"/>
  <c r="E2143" i="8"/>
  <c r="D2143" i="8"/>
  <c r="E2142" i="8"/>
  <c r="D2142" i="8"/>
  <c r="E2141" i="8"/>
  <c r="D2141" i="8"/>
  <c r="E2140" i="8"/>
  <c r="D2140" i="8"/>
  <c r="E2139" i="8"/>
  <c r="D2139" i="8"/>
  <c r="E2138" i="8"/>
  <c r="D2138" i="8"/>
  <c r="E2137" i="8"/>
  <c r="D2137" i="8"/>
  <c r="E2136" i="8"/>
  <c r="D2136" i="8"/>
  <c r="E2135" i="8"/>
  <c r="D2135" i="8"/>
  <c r="E2134" i="8"/>
  <c r="D2134" i="8"/>
  <c r="E2133" i="8"/>
  <c r="D2133" i="8"/>
  <c r="E2132" i="8"/>
  <c r="D2132" i="8"/>
  <c r="E2131" i="8"/>
  <c r="D2131" i="8"/>
  <c r="E2130" i="8"/>
  <c r="D2130" i="8"/>
  <c r="E2129" i="8"/>
  <c r="D2129" i="8"/>
  <c r="E2128" i="8"/>
  <c r="D2128" i="8"/>
  <c r="E2127" i="8"/>
  <c r="D2127" i="8"/>
  <c r="E2126" i="8"/>
  <c r="D2126" i="8"/>
  <c r="E2125" i="8"/>
  <c r="D2125" i="8"/>
  <c r="E2124" i="8"/>
  <c r="D2124" i="8"/>
  <c r="E2123" i="8"/>
  <c r="D2123" i="8"/>
  <c r="E2122" i="8"/>
  <c r="D2122" i="8"/>
  <c r="E2121" i="8"/>
  <c r="D2121" i="8"/>
  <c r="E2120" i="8"/>
  <c r="D2120" i="8"/>
  <c r="E2119" i="8"/>
  <c r="D2119" i="8"/>
  <c r="E2118" i="8"/>
  <c r="D2118" i="8"/>
  <c r="E2117" i="8"/>
  <c r="D2117" i="8"/>
  <c r="E2116" i="8"/>
  <c r="D2116" i="8"/>
  <c r="E2115" i="8"/>
  <c r="D2115" i="8"/>
  <c r="E2114" i="8"/>
  <c r="D2114" i="8"/>
  <c r="E2113" i="8"/>
  <c r="D2113" i="8"/>
  <c r="E2112" i="8"/>
  <c r="D2112" i="8"/>
  <c r="E2111" i="8"/>
  <c r="D2111" i="8"/>
  <c r="E2110" i="8"/>
  <c r="D2110" i="8"/>
  <c r="E2109" i="8"/>
  <c r="D2109" i="8"/>
  <c r="E2108" i="8"/>
  <c r="D2108" i="8"/>
  <c r="E2107" i="8"/>
  <c r="D2107" i="8"/>
  <c r="E2106" i="8"/>
  <c r="D2106" i="8"/>
  <c r="E2105" i="8"/>
  <c r="D2105" i="8"/>
  <c r="E2104" i="8"/>
  <c r="D2104" i="8"/>
  <c r="E2103" i="8"/>
  <c r="D2103" i="8"/>
  <c r="E2102" i="8"/>
  <c r="D2102" i="8"/>
  <c r="E2101" i="8"/>
  <c r="D2101" i="8"/>
  <c r="E2100" i="8"/>
  <c r="D2100" i="8"/>
  <c r="E2099" i="8"/>
  <c r="D2099" i="8"/>
  <c r="E2098" i="8"/>
  <c r="D2098" i="8"/>
  <c r="E2097" i="8"/>
  <c r="D2097" i="8"/>
  <c r="E2096" i="8"/>
  <c r="D2096" i="8"/>
  <c r="E2095" i="8"/>
  <c r="D2095" i="8"/>
  <c r="E2094" i="8"/>
  <c r="D2094" i="8"/>
  <c r="E2093" i="8"/>
  <c r="D2093" i="8"/>
  <c r="E2092" i="8"/>
  <c r="D2092" i="8"/>
  <c r="E2091" i="8"/>
  <c r="D2091" i="8"/>
  <c r="E2090" i="8"/>
  <c r="D2090" i="8"/>
  <c r="E2089" i="8"/>
  <c r="D2089" i="8"/>
  <c r="E2088" i="8"/>
  <c r="D2088" i="8"/>
  <c r="E2087" i="8"/>
  <c r="D2087" i="8"/>
  <c r="E2086" i="8"/>
  <c r="D2086" i="8"/>
  <c r="E2085" i="8"/>
  <c r="D2085" i="8"/>
  <c r="E2084" i="8"/>
  <c r="D2084" i="8"/>
  <c r="E2083" i="8"/>
  <c r="D2083" i="8"/>
  <c r="E2082" i="8"/>
  <c r="D2082" i="8"/>
  <c r="E2081" i="8"/>
  <c r="D2081" i="8"/>
  <c r="E2080" i="8"/>
  <c r="D2080" i="8"/>
  <c r="E2079" i="8"/>
  <c r="D2079" i="8"/>
  <c r="E2078" i="8"/>
  <c r="D2078" i="8"/>
  <c r="E2077" i="8"/>
  <c r="D2077" i="8"/>
  <c r="E2076" i="8"/>
  <c r="D2076" i="8"/>
  <c r="E2075" i="8"/>
  <c r="D2075" i="8"/>
  <c r="E2074" i="8"/>
  <c r="D2074" i="8"/>
  <c r="E2073" i="8"/>
  <c r="D2073" i="8"/>
  <c r="E2072" i="8"/>
  <c r="D2072" i="8"/>
  <c r="E2071" i="8"/>
  <c r="D2071" i="8"/>
  <c r="E2070" i="8"/>
  <c r="D2070" i="8"/>
  <c r="E2069" i="8"/>
  <c r="D2069" i="8"/>
  <c r="E2068" i="8"/>
  <c r="D2068" i="8"/>
  <c r="E2067" i="8"/>
  <c r="D2067" i="8"/>
  <c r="E2066" i="8"/>
  <c r="D2066" i="8"/>
  <c r="E2065" i="8"/>
  <c r="D2065" i="8"/>
  <c r="E2064" i="8"/>
  <c r="D2064" i="8"/>
  <c r="E2063" i="8"/>
  <c r="D2063" i="8"/>
  <c r="E2062" i="8"/>
  <c r="D2062" i="8"/>
  <c r="E2061" i="8"/>
  <c r="D2061" i="8"/>
  <c r="E2060" i="8"/>
  <c r="D2060" i="8"/>
  <c r="E2059" i="8"/>
  <c r="D2059" i="8"/>
  <c r="E2058" i="8"/>
  <c r="D2058" i="8"/>
  <c r="E2057" i="8"/>
  <c r="D2057" i="8"/>
  <c r="E2056" i="8"/>
  <c r="D2056" i="8"/>
  <c r="E2055" i="8"/>
  <c r="D2055" i="8"/>
  <c r="E2054" i="8"/>
  <c r="D2054" i="8"/>
  <c r="E2053" i="8"/>
  <c r="D2053" i="8"/>
  <c r="E2052" i="8"/>
  <c r="D2052" i="8"/>
  <c r="E2051" i="8"/>
  <c r="D2051" i="8"/>
  <c r="E2050" i="8"/>
  <c r="D2050" i="8"/>
  <c r="E2049" i="8"/>
  <c r="D2049" i="8"/>
  <c r="E2048" i="8"/>
  <c r="D2048" i="8"/>
  <c r="E2047" i="8"/>
  <c r="D2047" i="8"/>
  <c r="E2046" i="8"/>
  <c r="D2046" i="8"/>
  <c r="E2045" i="8"/>
  <c r="D2045" i="8"/>
  <c r="E2044" i="8"/>
  <c r="D2044" i="8"/>
  <c r="E2043" i="8"/>
  <c r="D2043" i="8"/>
  <c r="E2042" i="8"/>
  <c r="D2042" i="8"/>
  <c r="E2041" i="8"/>
  <c r="D2041" i="8"/>
  <c r="E2040" i="8"/>
  <c r="D2040" i="8"/>
  <c r="E2039" i="8"/>
  <c r="D2039" i="8"/>
  <c r="E2038" i="8"/>
  <c r="D2038" i="8"/>
  <c r="E2037" i="8"/>
  <c r="D2037" i="8"/>
  <c r="E2036" i="8"/>
  <c r="D2036" i="8"/>
  <c r="E2035" i="8"/>
  <c r="D2035" i="8"/>
  <c r="E2034" i="8"/>
  <c r="D2034" i="8"/>
  <c r="E2033" i="8"/>
  <c r="D2033" i="8"/>
  <c r="E2032" i="8"/>
  <c r="D2032" i="8"/>
  <c r="E2031" i="8"/>
  <c r="D2031" i="8"/>
  <c r="E2030" i="8"/>
  <c r="D2030" i="8"/>
  <c r="E2029" i="8"/>
  <c r="D2029" i="8"/>
  <c r="E2028" i="8"/>
  <c r="D2028" i="8"/>
  <c r="E2027" i="8"/>
  <c r="D2027" i="8"/>
  <c r="E2026" i="8"/>
  <c r="D2026" i="8"/>
  <c r="E2025" i="8"/>
  <c r="D2025" i="8"/>
  <c r="E2024" i="8"/>
  <c r="D2024" i="8"/>
  <c r="E2023" i="8"/>
  <c r="D2023" i="8"/>
  <c r="E2022" i="8"/>
  <c r="D2022" i="8"/>
  <c r="E2021" i="8"/>
  <c r="D2021" i="8"/>
  <c r="E2020" i="8"/>
  <c r="D2020" i="8"/>
  <c r="E2019" i="8"/>
  <c r="D2019" i="8"/>
  <c r="E2018" i="8"/>
  <c r="D2018" i="8"/>
  <c r="E2017" i="8"/>
  <c r="D2017" i="8"/>
  <c r="E2016" i="8"/>
  <c r="D2016" i="8"/>
  <c r="E2015" i="8"/>
  <c r="D2015" i="8"/>
  <c r="E2014" i="8"/>
  <c r="D2014" i="8"/>
  <c r="E2013" i="8"/>
  <c r="D2013" i="8"/>
  <c r="E2012" i="8"/>
  <c r="D2012" i="8"/>
  <c r="E2011" i="8"/>
  <c r="D2011" i="8"/>
  <c r="E2010" i="8"/>
  <c r="D2010" i="8"/>
  <c r="E2009" i="8"/>
  <c r="D2009" i="8"/>
  <c r="E2008" i="8"/>
  <c r="D2008" i="8"/>
  <c r="E2007" i="8"/>
  <c r="D2007" i="8"/>
  <c r="E2006" i="8"/>
  <c r="D2006" i="8"/>
  <c r="E2005" i="8"/>
  <c r="D2005" i="8"/>
  <c r="E2004" i="8"/>
  <c r="D2004" i="8"/>
  <c r="E2003" i="8"/>
  <c r="D2003" i="8"/>
  <c r="E2002" i="8"/>
  <c r="D2002" i="8"/>
  <c r="E2001" i="8"/>
  <c r="D2001" i="8"/>
  <c r="E2000" i="8"/>
  <c r="D2000" i="8"/>
  <c r="E1999" i="8"/>
  <c r="D1999" i="8"/>
  <c r="E1998" i="8"/>
  <c r="D1998" i="8"/>
  <c r="E1997" i="8"/>
  <c r="D1997" i="8"/>
  <c r="E1996" i="8"/>
  <c r="D1996" i="8"/>
  <c r="E1995" i="8"/>
  <c r="D1995" i="8"/>
  <c r="E1994" i="8"/>
  <c r="D1994" i="8"/>
  <c r="E1993" i="8"/>
  <c r="D1993" i="8"/>
  <c r="E1992" i="8"/>
  <c r="D1992" i="8"/>
  <c r="E1991" i="8"/>
  <c r="D1991" i="8"/>
  <c r="E1990" i="8"/>
  <c r="D1990" i="8"/>
  <c r="E1989" i="8"/>
  <c r="D1989" i="8"/>
  <c r="E1988" i="8"/>
  <c r="D1988" i="8"/>
  <c r="E1987" i="8"/>
  <c r="D1987" i="8"/>
  <c r="E1986" i="8"/>
  <c r="D1986" i="8"/>
  <c r="E1985" i="8"/>
  <c r="D1985" i="8"/>
  <c r="E1984" i="8"/>
  <c r="D1984" i="8"/>
  <c r="E1983" i="8"/>
  <c r="D1983" i="8"/>
  <c r="E1982" i="8"/>
  <c r="D1982" i="8"/>
  <c r="E1981" i="8"/>
  <c r="D1981" i="8"/>
  <c r="E1980" i="8"/>
  <c r="D1980" i="8"/>
  <c r="E1979" i="8"/>
  <c r="D1979" i="8"/>
  <c r="E1978" i="8"/>
  <c r="D1978" i="8"/>
  <c r="E1977" i="8"/>
  <c r="D1977" i="8"/>
  <c r="E1976" i="8"/>
  <c r="D1976" i="8"/>
  <c r="E1975" i="8"/>
  <c r="D1975" i="8"/>
  <c r="E1974" i="8"/>
  <c r="D1974" i="8"/>
  <c r="E1973" i="8"/>
  <c r="D1973" i="8"/>
  <c r="E1972" i="8"/>
  <c r="D1972" i="8"/>
  <c r="E1971" i="8"/>
  <c r="D1971" i="8"/>
  <c r="E1970" i="8"/>
  <c r="D1970" i="8"/>
  <c r="E1969" i="8"/>
  <c r="D1969" i="8"/>
  <c r="E1968" i="8"/>
  <c r="D1968" i="8"/>
  <c r="E1967" i="8"/>
  <c r="D1967" i="8"/>
  <c r="E1966" i="8"/>
  <c r="D1966" i="8"/>
  <c r="E1965" i="8"/>
  <c r="D1965" i="8"/>
  <c r="E1964" i="8"/>
  <c r="D1964" i="8"/>
  <c r="E1963" i="8"/>
  <c r="D1963" i="8"/>
  <c r="E1962" i="8"/>
  <c r="D1962" i="8"/>
  <c r="E1961" i="8"/>
  <c r="D1961" i="8"/>
  <c r="E1960" i="8"/>
  <c r="D1960" i="8"/>
  <c r="E1959" i="8"/>
  <c r="D1959" i="8"/>
  <c r="E1958" i="8"/>
  <c r="D1958" i="8"/>
  <c r="E1957" i="8"/>
  <c r="D1957" i="8"/>
  <c r="E1956" i="8"/>
  <c r="D1956" i="8"/>
  <c r="E1955" i="8"/>
  <c r="D1955" i="8"/>
  <c r="E1954" i="8"/>
  <c r="D1954" i="8"/>
  <c r="E1953" i="8"/>
  <c r="D1953" i="8"/>
  <c r="E1952" i="8"/>
  <c r="D1952" i="8"/>
  <c r="E1951" i="8"/>
  <c r="D1951" i="8"/>
  <c r="E1950" i="8"/>
  <c r="D1950" i="8"/>
  <c r="E1949" i="8"/>
  <c r="D1949" i="8"/>
  <c r="E1948" i="8"/>
  <c r="D1948" i="8"/>
  <c r="E1947" i="8"/>
  <c r="D1947" i="8"/>
  <c r="E1946" i="8"/>
  <c r="D1946" i="8"/>
  <c r="E1945" i="8"/>
  <c r="D1945" i="8"/>
  <c r="E1944" i="8"/>
  <c r="D1944" i="8"/>
  <c r="E1943" i="8"/>
  <c r="D1943" i="8"/>
  <c r="E1942" i="8"/>
  <c r="D1942" i="8"/>
  <c r="E1941" i="8"/>
  <c r="D1941" i="8"/>
  <c r="E1940" i="8"/>
  <c r="D1940" i="8"/>
  <c r="E1939" i="8"/>
  <c r="D1939" i="8"/>
  <c r="E1938" i="8"/>
  <c r="D1938" i="8"/>
  <c r="E1937" i="8"/>
  <c r="D1937" i="8"/>
  <c r="E1936" i="8"/>
  <c r="D1936" i="8"/>
  <c r="E1935" i="8"/>
  <c r="D1935" i="8"/>
  <c r="E1934" i="8"/>
  <c r="D1934" i="8"/>
  <c r="E1933" i="8"/>
  <c r="D1933" i="8"/>
  <c r="E1932" i="8"/>
  <c r="D1932" i="8"/>
  <c r="E1931" i="8"/>
  <c r="D1931" i="8"/>
  <c r="E1930" i="8"/>
  <c r="D1930" i="8"/>
  <c r="E1929" i="8"/>
  <c r="D1929" i="8"/>
  <c r="E1928" i="8"/>
  <c r="D1928" i="8"/>
  <c r="E1927" i="8"/>
  <c r="D1927" i="8"/>
  <c r="E1926" i="8"/>
  <c r="D1926" i="8"/>
  <c r="E1925" i="8"/>
  <c r="D1925" i="8"/>
  <c r="E1924" i="8"/>
  <c r="D1924" i="8"/>
  <c r="E1923" i="8"/>
  <c r="D1923" i="8"/>
  <c r="E1922" i="8"/>
  <c r="D1922" i="8"/>
  <c r="E1921" i="8"/>
  <c r="D1921" i="8"/>
  <c r="E1920" i="8"/>
  <c r="D1920" i="8"/>
  <c r="E1919" i="8"/>
  <c r="D1919" i="8"/>
  <c r="E1918" i="8"/>
  <c r="D1918" i="8"/>
  <c r="E1917" i="8"/>
  <c r="D1917" i="8"/>
  <c r="E1916" i="8"/>
  <c r="D1916" i="8"/>
  <c r="E1915" i="8"/>
  <c r="D1915" i="8"/>
  <c r="E1914" i="8"/>
  <c r="D1914" i="8"/>
  <c r="E1913" i="8"/>
  <c r="D1913" i="8"/>
  <c r="E1912" i="8"/>
  <c r="D1912" i="8"/>
  <c r="E1911" i="8"/>
  <c r="D1911" i="8"/>
  <c r="E1910" i="8"/>
  <c r="D1910" i="8"/>
  <c r="E1909" i="8"/>
  <c r="D1909" i="8"/>
  <c r="E1908" i="8"/>
  <c r="D1908" i="8"/>
  <c r="E1907" i="8"/>
  <c r="D1907" i="8"/>
  <c r="E1906" i="8"/>
  <c r="D1906" i="8"/>
  <c r="E1905" i="8"/>
  <c r="D1905" i="8"/>
  <c r="E1904" i="8"/>
  <c r="D1904" i="8"/>
  <c r="E1903" i="8"/>
  <c r="D1903" i="8"/>
  <c r="E1902" i="8"/>
  <c r="D1902" i="8"/>
  <c r="E1901" i="8"/>
  <c r="D1901" i="8"/>
  <c r="E1900" i="8"/>
  <c r="D1900" i="8"/>
  <c r="E1899" i="8"/>
  <c r="D1899" i="8"/>
  <c r="E1898" i="8"/>
  <c r="D1898" i="8"/>
  <c r="E1897" i="8"/>
  <c r="D1897" i="8"/>
  <c r="E1896" i="8"/>
  <c r="D1896" i="8"/>
  <c r="E1895" i="8"/>
  <c r="D1895" i="8"/>
  <c r="E1894" i="8"/>
  <c r="D1894" i="8"/>
  <c r="E1893" i="8"/>
  <c r="D1893" i="8"/>
  <c r="E1892" i="8"/>
  <c r="D1892" i="8"/>
  <c r="E1891" i="8"/>
  <c r="D1891" i="8"/>
  <c r="E1890" i="8"/>
  <c r="D1890" i="8"/>
  <c r="E1889" i="8"/>
  <c r="D1889" i="8"/>
  <c r="E1888" i="8"/>
  <c r="D1888" i="8"/>
  <c r="E1887" i="8"/>
  <c r="D1887" i="8"/>
  <c r="E1886" i="8"/>
  <c r="D1886" i="8"/>
  <c r="E1885" i="8"/>
  <c r="D1885" i="8"/>
  <c r="E1884" i="8"/>
  <c r="D1884" i="8"/>
  <c r="E1883" i="8"/>
  <c r="D1883" i="8"/>
  <c r="E1882" i="8"/>
  <c r="D1882" i="8"/>
  <c r="E1881" i="8"/>
  <c r="D1881" i="8"/>
  <c r="E1880" i="8"/>
  <c r="D1880" i="8"/>
  <c r="E1879" i="8"/>
  <c r="D1879" i="8"/>
  <c r="E1878" i="8"/>
  <c r="D1878" i="8"/>
  <c r="E1877" i="8"/>
  <c r="D1877" i="8"/>
  <c r="E1876" i="8"/>
  <c r="D1876" i="8"/>
  <c r="E1875" i="8"/>
  <c r="D1875" i="8"/>
  <c r="E1874" i="8"/>
  <c r="D1874" i="8"/>
  <c r="E1873" i="8"/>
  <c r="D1873" i="8"/>
  <c r="E1872" i="8"/>
  <c r="D1872" i="8"/>
  <c r="E1871" i="8"/>
  <c r="D1871" i="8"/>
  <c r="E1870" i="8"/>
  <c r="D1870" i="8"/>
  <c r="E1869" i="8"/>
  <c r="D1869" i="8"/>
  <c r="E1868" i="8"/>
  <c r="D1868" i="8"/>
  <c r="E1867" i="8"/>
  <c r="D1867" i="8"/>
  <c r="E1866" i="8"/>
  <c r="D1866" i="8"/>
  <c r="E1865" i="8"/>
  <c r="D1865" i="8"/>
  <c r="E1864" i="8"/>
  <c r="D1864" i="8"/>
  <c r="E1863" i="8"/>
  <c r="D1863" i="8"/>
  <c r="E1862" i="8"/>
  <c r="D1862" i="8"/>
  <c r="E1861" i="8"/>
  <c r="D1861" i="8"/>
  <c r="E1860" i="8"/>
  <c r="D1860" i="8"/>
  <c r="E1859" i="8"/>
  <c r="D1859" i="8"/>
  <c r="E1858" i="8"/>
  <c r="D1858" i="8"/>
  <c r="E1857" i="8"/>
  <c r="D1857" i="8"/>
  <c r="E1856" i="8"/>
  <c r="D1856" i="8"/>
  <c r="E1855" i="8"/>
  <c r="D1855" i="8"/>
  <c r="E1854" i="8"/>
  <c r="D1854" i="8"/>
  <c r="E1853" i="8"/>
  <c r="D1853" i="8"/>
  <c r="E1852" i="8"/>
  <c r="D1852" i="8"/>
  <c r="E1851" i="8"/>
  <c r="D1851" i="8"/>
  <c r="E1850" i="8"/>
  <c r="D1850" i="8"/>
  <c r="E1849" i="8"/>
  <c r="D1849" i="8"/>
  <c r="E1848" i="8"/>
  <c r="D1848" i="8"/>
  <c r="E1847" i="8"/>
  <c r="D1847" i="8"/>
  <c r="E1846" i="8"/>
  <c r="D1846" i="8"/>
  <c r="E1845" i="8"/>
  <c r="D1845" i="8"/>
  <c r="E1844" i="8"/>
  <c r="D1844" i="8"/>
  <c r="E1843" i="8"/>
  <c r="D1843" i="8"/>
  <c r="E1842" i="8"/>
  <c r="D1842" i="8"/>
  <c r="E1841" i="8"/>
  <c r="D1841" i="8"/>
  <c r="E1840" i="8"/>
  <c r="D1840" i="8"/>
  <c r="E1839" i="8"/>
  <c r="D1839" i="8"/>
  <c r="E1838" i="8"/>
  <c r="D1838" i="8"/>
  <c r="E1837" i="8"/>
  <c r="D1837" i="8"/>
  <c r="E1836" i="8"/>
  <c r="D1836" i="8"/>
  <c r="E1835" i="8"/>
  <c r="D1835" i="8"/>
  <c r="E1834" i="8"/>
  <c r="D1834" i="8"/>
  <c r="E1833" i="8"/>
  <c r="D1833" i="8"/>
  <c r="E1832" i="8"/>
  <c r="D1832" i="8"/>
  <c r="E1831" i="8"/>
  <c r="D1831" i="8"/>
  <c r="E1830" i="8"/>
  <c r="D1830" i="8"/>
  <c r="E1829" i="8"/>
  <c r="D1829" i="8"/>
  <c r="E1828" i="8"/>
  <c r="D1828" i="8"/>
  <c r="E1827" i="8"/>
  <c r="D1827" i="8"/>
  <c r="E1826" i="8"/>
  <c r="D1826" i="8"/>
  <c r="E1825" i="8"/>
  <c r="D1825" i="8"/>
  <c r="E1824" i="8"/>
  <c r="D1824" i="8"/>
  <c r="E1823" i="8"/>
  <c r="D1823" i="8"/>
  <c r="E1822" i="8"/>
  <c r="D1822" i="8"/>
  <c r="E1821" i="8"/>
  <c r="D1821" i="8"/>
  <c r="E1820" i="8"/>
  <c r="D1820" i="8"/>
  <c r="E1819" i="8"/>
  <c r="D1819" i="8"/>
  <c r="E1818" i="8"/>
  <c r="D1818" i="8"/>
  <c r="E1817" i="8"/>
  <c r="D1817" i="8"/>
  <c r="E1816" i="8"/>
  <c r="D1816" i="8"/>
  <c r="E1815" i="8"/>
  <c r="D1815" i="8"/>
  <c r="E1814" i="8"/>
  <c r="D1814" i="8"/>
  <c r="E1813" i="8"/>
  <c r="D1813" i="8"/>
  <c r="E1812" i="8"/>
  <c r="D1812" i="8"/>
  <c r="E1811" i="8"/>
  <c r="D1811" i="8"/>
  <c r="E1810" i="8"/>
  <c r="D1810" i="8"/>
  <c r="E1809" i="8"/>
  <c r="D1809" i="8"/>
  <c r="E1808" i="8"/>
  <c r="D1808" i="8"/>
  <c r="E1807" i="8"/>
  <c r="D1807" i="8"/>
  <c r="E1806" i="8"/>
  <c r="D1806" i="8"/>
  <c r="E1805" i="8"/>
  <c r="D1805" i="8"/>
  <c r="E1804" i="8"/>
  <c r="D1804" i="8"/>
  <c r="E1803" i="8"/>
  <c r="D1803" i="8"/>
  <c r="E1802" i="8"/>
  <c r="D1802" i="8"/>
  <c r="E1801" i="8"/>
  <c r="D1801" i="8"/>
  <c r="E1800" i="8"/>
  <c r="D1800" i="8"/>
  <c r="E1799" i="8"/>
  <c r="D1799" i="8"/>
  <c r="E1798" i="8"/>
  <c r="D1798" i="8"/>
  <c r="E1797" i="8"/>
  <c r="D1797" i="8"/>
  <c r="E1796" i="8"/>
  <c r="D1796" i="8"/>
  <c r="E1795" i="8"/>
  <c r="D1795" i="8"/>
  <c r="E1794" i="8"/>
  <c r="D1794" i="8"/>
  <c r="E1793" i="8"/>
  <c r="D1793" i="8"/>
  <c r="E1792" i="8"/>
  <c r="D1792" i="8"/>
  <c r="E1791" i="8"/>
  <c r="D1791" i="8"/>
  <c r="E1790" i="8"/>
  <c r="D1790" i="8"/>
  <c r="E1789" i="8"/>
  <c r="D1789" i="8"/>
  <c r="E1788" i="8"/>
  <c r="D1788" i="8"/>
  <c r="E1787" i="8"/>
  <c r="D1787" i="8"/>
  <c r="E1786" i="8"/>
  <c r="D1786" i="8"/>
  <c r="E1785" i="8"/>
  <c r="D1785" i="8"/>
  <c r="E1784" i="8"/>
  <c r="D1784" i="8"/>
  <c r="E1783" i="8"/>
  <c r="D1783" i="8"/>
  <c r="E1782" i="8"/>
  <c r="D1782" i="8"/>
  <c r="E1781" i="8"/>
  <c r="D1781" i="8"/>
  <c r="E1780" i="8"/>
  <c r="D1780" i="8"/>
  <c r="E1779" i="8"/>
  <c r="D1779" i="8"/>
  <c r="E1778" i="8"/>
  <c r="D1778" i="8"/>
  <c r="E1777" i="8"/>
  <c r="D1777" i="8"/>
  <c r="E1776" i="8"/>
  <c r="D1776" i="8"/>
  <c r="E1775" i="8"/>
  <c r="D1775" i="8"/>
  <c r="E1774" i="8"/>
  <c r="D1774" i="8"/>
  <c r="E1773" i="8"/>
  <c r="D1773" i="8"/>
  <c r="E1772" i="8"/>
  <c r="D1772" i="8"/>
  <c r="E1771" i="8"/>
  <c r="D1771" i="8"/>
  <c r="E1770" i="8"/>
  <c r="D1770" i="8"/>
  <c r="E1769" i="8"/>
  <c r="D1769" i="8"/>
  <c r="E1768" i="8"/>
  <c r="D1768" i="8"/>
  <c r="E1767" i="8"/>
  <c r="D1767" i="8"/>
  <c r="E1766" i="8"/>
  <c r="D1766" i="8"/>
  <c r="E1765" i="8"/>
  <c r="D1765" i="8"/>
  <c r="E1764" i="8"/>
  <c r="D1764" i="8"/>
  <c r="E1763" i="8"/>
  <c r="D1763" i="8"/>
  <c r="E1762" i="8"/>
  <c r="D1762" i="8"/>
  <c r="E1761" i="8"/>
  <c r="D1761" i="8"/>
  <c r="E1760" i="8"/>
  <c r="D1760" i="8"/>
  <c r="E1759" i="8"/>
  <c r="D1759" i="8"/>
  <c r="E1758" i="8"/>
  <c r="D1758" i="8"/>
  <c r="E1757" i="8"/>
  <c r="D1757" i="8"/>
  <c r="E1756" i="8"/>
  <c r="D1756" i="8"/>
  <c r="E1755" i="8"/>
  <c r="D1755" i="8"/>
  <c r="E1754" i="8"/>
  <c r="D1754" i="8"/>
  <c r="E1753" i="8"/>
  <c r="D1753" i="8"/>
  <c r="E1752" i="8"/>
  <c r="D1752" i="8"/>
  <c r="E1751" i="8"/>
  <c r="D1751" i="8"/>
  <c r="E1750" i="8"/>
  <c r="D1750" i="8"/>
  <c r="E1749" i="8"/>
  <c r="D1749" i="8"/>
  <c r="E1748" i="8"/>
  <c r="D1748" i="8"/>
  <c r="E1747" i="8"/>
  <c r="D1747" i="8"/>
  <c r="E1746" i="8"/>
  <c r="D1746" i="8"/>
  <c r="E1745" i="8"/>
  <c r="D1745" i="8"/>
  <c r="E1744" i="8"/>
  <c r="D1744" i="8"/>
  <c r="E1743" i="8"/>
  <c r="D1743" i="8"/>
  <c r="E1742" i="8"/>
  <c r="D1742" i="8"/>
  <c r="E1741" i="8"/>
  <c r="D1741" i="8"/>
  <c r="E1740" i="8"/>
  <c r="D1740" i="8"/>
  <c r="E1739" i="8"/>
  <c r="D1739" i="8"/>
  <c r="E1738" i="8"/>
  <c r="D1738" i="8"/>
  <c r="E1737" i="8"/>
  <c r="D1737" i="8"/>
  <c r="E1736" i="8"/>
  <c r="D1736" i="8"/>
  <c r="E1735" i="8"/>
  <c r="D1735" i="8"/>
  <c r="E1734" i="8"/>
  <c r="D1734" i="8"/>
  <c r="E1733" i="8"/>
  <c r="D1733" i="8"/>
  <c r="E1732" i="8"/>
  <c r="D1732" i="8"/>
  <c r="E1731" i="8"/>
  <c r="D1731" i="8"/>
  <c r="E1730" i="8"/>
  <c r="D1730" i="8"/>
  <c r="E1729" i="8"/>
  <c r="D1729" i="8"/>
  <c r="E1728" i="8"/>
  <c r="D1728" i="8"/>
  <c r="E1727" i="8"/>
  <c r="D1727" i="8"/>
  <c r="E1726" i="8"/>
  <c r="D1726" i="8"/>
  <c r="E1725" i="8"/>
  <c r="D1725" i="8"/>
  <c r="E1724" i="8"/>
  <c r="D1724" i="8"/>
  <c r="E1723" i="8"/>
  <c r="D1723" i="8"/>
  <c r="E1722" i="8"/>
  <c r="D1722" i="8"/>
  <c r="E1721" i="8"/>
  <c r="D1721" i="8"/>
  <c r="E1720" i="8"/>
  <c r="D1720" i="8"/>
  <c r="E1719" i="8"/>
  <c r="D1719" i="8"/>
  <c r="E1718" i="8"/>
  <c r="D1718" i="8"/>
  <c r="E1717" i="8"/>
  <c r="D1717" i="8"/>
  <c r="E1716" i="8"/>
  <c r="D1716" i="8"/>
  <c r="E1715" i="8"/>
  <c r="D1715" i="8"/>
  <c r="E1714" i="8"/>
  <c r="D1714" i="8"/>
  <c r="E1713" i="8"/>
  <c r="D1713" i="8"/>
  <c r="E1712" i="8"/>
  <c r="D1712" i="8"/>
  <c r="E1711" i="8"/>
  <c r="D1711" i="8"/>
  <c r="E1710" i="8"/>
  <c r="D1710" i="8"/>
  <c r="E1709" i="8"/>
  <c r="D1709" i="8"/>
  <c r="E1708" i="8"/>
  <c r="D1708" i="8"/>
  <c r="E1707" i="8"/>
  <c r="D1707" i="8"/>
  <c r="E1706" i="8"/>
  <c r="D1706" i="8"/>
  <c r="E1705" i="8"/>
  <c r="D1705" i="8"/>
  <c r="E1704" i="8"/>
  <c r="D1704" i="8"/>
  <c r="E1703" i="8"/>
  <c r="D1703" i="8"/>
  <c r="E1702" i="8"/>
  <c r="D1702" i="8"/>
  <c r="E1701" i="8"/>
  <c r="D1701" i="8"/>
  <c r="E1700" i="8"/>
  <c r="D1700" i="8"/>
  <c r="E1699" i="8"/>
  <c r="D1699" i="8"/>
  <c r="E1698" i="8"/>
  <c r="D1698" i="8"/>
  <c r="E1697" i="8"/>
  <c r="D1697" i="8"/>
  <c r="E1696" i="8"/>
  <c r="D1696" i="8"/>
  <c r="E1695" i="8"/>
  <c r="D1695" i="8"/>
  <c r="E1694" i="8"/>
  <c r="D1694" i="8"/>
  <c r="E1693" i="8"/>
  <c r="D1693" i="8"/>
  <c r="E1692" i="8"/>
  <c r="D1692" i="8"/>
  <c r="E1691" i="8"/>
  <c r="D1691" i="8"/>
  <c r="E1690" i="8"/>
  <c r="D1690" i="8"/>
  <c r="E1689" i="8"/>
  <c r="D1689" i="8"/>
  <c r="E1688" i="8"/>
  <c r="D1688" i="8"/>
  <c r="E1687" i="8"/>
  <c r="D1687" i="8"/>
  <c r="E1686" i="8"/>
  <c r="D1686" i="8"/>
  <c r="E1685" i="8"/>
  <c r="D1685" i="8"/>
  <c r="E1684" i="8"/>
  <c r="D1684" i="8"/>
  <c r="E1683" i="8"/>
  <c r="D1683" i="8"/>
  <c r="E1682" i="8"/>
  <c r="D1682" i="8"/>
  <c r="E1681" i="8"/>
  <c r="D1681" i="8"/>
  <c r="E1680" i="8"/>
  <c r="D1680" i="8"/>
  <c r="E1679" i="8"/>
  <c r="D1679" i="8"/>
  <c r="E1678" i="8"/>
  <c r="D1678" i="8"/>
  <c r="E1677" i="8"/>
  <c r="D1677" i="8"/>
  <c r="E1676" i="8"/>
  <c r="D1676" i="8"/>
  <c r="E1675" i="8"/>
  <c r="D1675" i="8"/>
  <c r="E1674" i="8"/>
  <c r="D1674" i="8"/>
  <c r="E1673" i="8"/>
  <c r="D1673" i="8"/>
  <c r="E1672" i="8"/>
  <c r="D1672" i="8"/>
  <c r="E1671" i="8"/>
  <c r="D1671" i="8"/>
  <c r="E1670" i="8"/>
  <c r="D1670" i="8"/>
  <c r="E1669" i="8"/>
  <c r="D1669" i="8"/>
  <c r="E1668" i="8"/>
  <c r="D1668" i="8"/>
  <c r="E1667" i="8"/>
  <c r="D1667" i="8"/>
  <c r="E1666" i="8"/>
  <c r="D1666" i="8"/>
  <c r="E1665" i="8"/>
  <c r="D1665" i="8"/>
  <c r="E1664" i="8"/>
  <c r="D1664" i="8"/>
  <c r="E1663" i="8"/>
  <c r="D1663" i="8"/>
  <c r="E1662" i="8"/>
  <c r="D1662" i="8"/>
  <c r="E1661" i="8"/>
  <c r="D1661" i="8"/>
  <c r="E1660" i="8"/>
  <c r="D1660" i="8"/>
  <c r="E1659" i="8"/>
  <c r="D1659" i="8"/>
  <c r="E1658" i="8"/>
  <c r="D1658" i="8"/>
  <c r="E1657" i="8"/>
  <c r="D1657" i="8"/>
  <c r="E1656" i="8"/>
  <c r="D1656" i="8"/>
  <c r="E1655" i="8"/>
  <c r="D1655" i="8"/>
  <c r="E1654" i="8"/>
  <c r="D1654" i="8"/>
  <c r="E1653" i="8"/>
  <c r="D1653" i="8"/>
  <c r="E1652" i="8"/>
  <c r="D1652" i="8"/>
  <c r="E1651" i="8"/>
  <c r="D1651" i="8"/>
  <c r="E1650" i="8"/>
  <c r="D1650" i="8"/>
  <c r="E1649" i="8"/>
  <c r="D1649" i="8"/>
  <c r="E1648" i="8"/>
  <c r="D1648" i="8"/>
  <c r="E1647" i="8"/>
  <c r="D1647" i="8"/>
  <c r="E1646" i="8"/>
  <c r="D1646" i="8"/>
  <c r="E1645" i="8"/>
  <c r="D1645" i="8"/>
  <c r="E1644" i="8"/>
  <c r="D1644" i="8"/>
  <c r="E1643" i="8"/>
  <c r="D1643" i="8"/>
  <c r="E1642" i="8"/>
  <c r="D1642" i="8"/>
  <c r="E1641" i="8"/>
  <c r="D1641" i="8"/>
  <c r="E1640" i="8"/>
  <c r="D1640" i="8"/>
  <c r="E1639" i="8"/>
  <c r="D1639" i="8"/>
  <c r="E1638" i="8"/>
  <c r="D1638" i="8"/>
  <c r="E1637" i="8"/>
  <c r="D1637" i="8"/>
  <c r="E1636" i="8"/>
  <c r="D1636" i="8"/>
  <c r="E1635" i="8"/>
  <c r="D1635" i="8"/>
  <c r="E1634" i="8"/>
  <c r="D1634" i="8"/>
  <c r="E1633" i="8"/>
  <c r="D1633" i="8"/>
  <c r="E1632" i="8"/>
  <c r="D1632" i="8"/>
  <c r="E1631" i="8"/>
  <c r="D1631" i="8"/>
  <c r="E1630" i="8"/>
  <c r="D1630" i="8"/>
  <c r="E1629" i="8"/>
  <c r="D1629" i="8"/>
  <c r="E1628" i="8"/>
  <c r="D1628" i="8"/>
  <c r="E1627" i="8"/>
  <c r="D1627" i="8"/>
  <c r="E1626" i="8"/>
  <c r="D1626" i="8"/>
  <c r="E1625" i="8"/>
  <c r="D1625" i="8"/>
  <c r="E1624" i="8"/>
  <c r="D1624" i="8"/>
  <c r="E1623" i="8"/>
  <c r="D1623" i="8"/>
  <c r="E1622" i="8"/>
  <c r="D1622" i="8"/>
  <c r="E1621" i="8"/>
  <c r="D1621" i="8"/>
  <c r="E1620" i="8"/>
  <c r="D1620" i="8"/>
  <c r="E1619" i="8"/>
  <c r="D1619" i="8"/>
  <c r="E1618" i="8"/>
  <c r="D1618" i="8"/>
  <c r="E1617" i="8"/>
  <c r="D1617" i="8"/>
  <c r="E1616" i="8"/>
  <c r="D1616" i="8"/>
  <c r="E1615" i="8"/>
  <c r="D1615" i="8"/>
  <c r="E1614" i="8"/>
  <c r="D1614" i="8"/>
  <c r="E1613" i="8"/>
  <c r="D1613" i="8"/>
  <c r="E1612" i="8"/>
  <c r="D1612" i="8"/>
  <c r="E1611" i="8"/>
  <c r="D1611" i="8"/>
  <c r="E1610" i="8"/>
  <c r="D1610" i="8"/>
  <c r="E1609" i="8"/>
  <c r="D1609" i="8"/>
  <c r="E1608" i="8"/>
  <c r="D1608" i="8"/>
  <c r="E1607" i="8"/>
  <c r="D1607" i="8"/>
  <c r="E1606" i="8"/>
  <c r="D1606" i="8"/>
  <c r="E1605" i="8"/>
  <c r="D1605" i="8"/>
  <c r="E1604" i="8"/>
  <c r="D1604" i="8"/>
  <c r="E1603" i="8"/>
  <c r="D1603" i="8"/>
  <c r="E1602" i="8"/>
  <c r="D1602" i="8"/>
  <c r="E1601" i="8"/>
  <c r="D1601" i="8"/>
  <c r="E1600" i="8"/>
  <c r="D1600" i="8"/>
  <c r="E1599" i="8"/>
  <c r="D1599" i="8"/>
  <c r="E1598" i="8"/>
  <c r="D1598" i="8"/>
  <c r="E1597" i="8"/>
  <c r="D1597" i="8"/>
  <c r="E1596" i="8"/>
  <c r="D1596" i="8"/>
  <c r="E1595" i="8"/>
  <c r="D1595" i="8"/>
  <c r="E1594" i="8"/>
  <c r="D1594" i="8"/>
  <c r="E1593" i="8"/>
  <c r="D1593" i="8"/>
  <c r="E1592" i="8"/>
  <c r="D1592" i="8"/>
  <c r="E1591" i="8"/>
  <c r="D1591" i="8"/>
  <c r="E1590" i="8"/>
  <c r="D1590" i="8"/>
  <c r="E1589" i="8"/>
  <c r="D1589" i="8"/>
  <c r="E1588" i="8"/>
  <c r="D1588" i="8"/>
  <c r="E1587" i="8"/>
  <c r="D1587" i="8"/>
  <c r="E1586" i="8"/>
  <c r="D1586" i="8"/>
  <c r="E1585" i="8"/>
  <c r="D1585" i="8"/>
  <c r="E1584" i="8"/>
  <c r="D1584" i="8"/>
  <c r="E1583" i="8"/>
  <c r="D1583" i="8"/>
  <c r="E1582" i="8"/>
  <c r="D1582" i="8"/>
  <c r="E1581" i="8"/>
  <c r="D1581" i="8"/>
  <c r="E1580" i="8"/>
  <c r="D1580" i="8"/>
  <c r="E1579" i="8"/>
  <c r="D1579" i="8"/>
  <c r="E1578" i="8"/>
  <c r="D1578" i="8"/>
  <c r="E1577" i="8"/>
  <c r="D1577" i="8"/>
  <c r="E1576" i="8"/>
  <c r="D1576" i="8"/>
  <c r="E1575" i="8"/>
  <c r="D1575" i="8"/>
  <c r="E1574" i="8"/>
  <c r="D1574" i="8"/>
  <c r="E1573" i="8"/>
  <c r="D1573" i="8"/>
  <c r="E1572" i="8"/>
  <c r="D1572" i="8"/>
  <c r="E1571" i="8"/>
  <c r="D1571" i="8"/>
  <c r="E1570" i="8"/>
  <c r="D1570" i="8"/>
  <c r="E1569" i="8"/>
  <c r="D1569" i="8"/>
  <c r="E1568" i="8"/>
  <c r="D1568" i="8"/>
  <c r="E1567" i="8"/>
  <c r="D1567" i="8"/>
  <c r="E1566" i="8"/>
  <c r="D1566" i="8"/>
  <c r="E1565" i="8"/>
  <c r="D1565" i="8"/>
  <c r="E1564" i="8"/>
  <c r="D1564" i="8"/>
  <c r="E1563" i="8"/>
  <c r="D1563" i="8"/>
  <c r="E1562" i="8"/>
  <c r="D1562" i="8"/>
  <c r="E1561" i="8"/>
  <c r="D1561" i="8"/>
  <c r="E1560" i="8"/>
  <c r="D1560" i="8"/>
  <c r="E1559" i="8"/>
  <c r="D1559" i="8"/>
  <c r="E1558" i="8"/>
  <c r="D1558" i="8"/>
  <c r="E1557" i="8"/>
  <c r="D1557" i="8"/>
  <c r="E1556" i="8"/>
  <c r="D1556" i="8"/>
  <c r="E1555" i="8"/>
  <c r="D1555" i="8"/>
  <c r="E1554" i="8"/>
  <c r="D1554" i="8"/>
  <c r="E1553" i="8"/>
  <c r="D1553" i="8"/>
  <c r="E1552" i="8"/>
  <c r="D1552" i="8"/>
  <c r="E1551" i="8"/>
  <c r="D1551" i="8"/>
  <c r="E1550" i="8"/>
  <c r="D1550" i="8"/>
  <c r="E1549" i="8"/>
  <c r="D1549" i="8"/>
  <c r="E1548" i="8"/>
  <c r="D1548" i="8"/>
  <c r="E1547" i="8"/>
  <c r="D1547" i="8"/>
  <c r="E1546" i="8"/>
  <c r="D1546" i="8"/>
  <c r="E1545" i="8"/>
  <c r="D1545" i="8"/>
  <c r="E1544" i="8"/>
  <c r="D1544" i="8"/>
  <c r="E1543" i="8"/>
  <c r="D1543" i="8"/>
  <c r="E1542" i="8"/>
  <c r="D1542" i="8"/>
  <c r="E1541" i="8"/>
  <c r="D1541" i="8"/>
  <c r="E1540" i="8"/>
  <c r="D1540" i="8"/>
  <c r="E1539" i="8"/>
  <c r="D1539" i="8"/>
  <c r="E1538" i="8"/>
  <c r="D1538" i="8"/>
  <c r="E1537" i="8"/>
  <c r="D1537" i="8"/>
  <c r="E1536" i="8"/>
  <c r="D1536" i="8"/>
  <c r="E1535" i="8"/>
  <c r="D1535" i="8"/>
  <c r="E1534" i="8"/>
  <c r="D1534" i="8"/>
  <c r="E1533" i="8"/>
  <c r="D1533" i="8"/>
  <c r="E1532" i="8"/>
  <c r="D1532" i="8"/>
  <c r="E1531" i="8"/>
  <c r="D1531" i="8"/>
  <c r="E1530" i="8"/>
  <c r="D1530" i="8"/>
  <c r="E1529" i="8"/>
  <c r="D1529" i="8"/>
  <c r="E1528" i="8"/>
  <c r="D1528" i="8"/>
  <c r="E1527" i="8"/>
  <c r="D1527" i="8"/>
  <c r="E1526" i="8"/>
  <c r="D1526" i="8"/>
  <c r="E1525" i="8"/>
  <c r="D1525" i="8"/>
  <c r="E1524" i="8"/>
  <c r="D1524" i="8"/>
  <c r="E1523" i="8"/>
  <c r="D1523" i="8"/>
  <c r="E1522" i="8"/>
  <c r="D1522" i="8"/>
  <c r="E1521" i="8"/>
  <c r="D1521" i="8"/>
  <c r="E1520" i="8"/>
  <c r="D1520" i="8"/>
  <c r="E1519" i="8"/>
  <c r="D1519" i="8"/>
  <c r="E1518" i="8"/>
  <c r="D1518" i="8"/>
  <c r="E1517" i="8"/>
  <c r="D1517" i="8"/>
  <c r="E1516" i="8"/>
  <c r="D1516" i="8"/>
  <c r="E1515" i="8"/>
  <c r="D1515" i="8"/>
  <c r="E1514" i="8"/>
  <c r="D1514" i="8"/>
  <c r="E1513" i="8"/>
  <c r="D1513" i="8"/>
  <c r="E1512" i="8"/>
  <c r="D1512" i="8"/>
  <c r="E1511" i="8"/>
  <c r="D1511" i="8"/>
  <c r="E1510" i="8"/>
  <c r="D1510" i="8"/>
  <c r="E1509" i="8"/>
  <c r="D1509" i="8"/>
  <c r="E1508" i="8"/>
  <c r="D1508" i="8"/>
  <c r="E1507" i="8"/>
  <c r="D1507" i="8"/>
  <c r="E1506" i="8"/>
  <c r="D1506" i="8"/>
  <c r="E1505" i="8"/>
  <c r="D1505" i="8"/>
  <c r="E1504" i="8"/>
  <c r="D1504" i="8"/>
  <c r="E1503" i="8"/>
  <c r="D1503" i="8"/>
  <c r="E1502" i="8"/>
  <c r="D1502" i="8"/>
  <c r="E1501" i="8"/>
  <c r="D1501" i="8"/>
  <c r="E1500" i="8"/>
  <c r="D1500" i="8"/>
  <c r="E1499" i="8"/>
  <c r="D1499" i="8"/>
  <c r="E1498" i="8"/>
  <c r="D1498" i="8"/>
  <c r="E1497" i="8"/>
  <c r="D1497" i="8"/>
  <c r="E1496" i="8"/>
  <c r="D1496" i="8"/>
  <c r="E1495" i="8"/>
  <c r="D1495" i="8"/>
  <c r="E1494" i="8"/>
  <c r="D1494" i="8"/>
  <c r="E1493" i="8"/>
  <c r="D1493" i="8"/>
  <c r="E1492" i="8"/>
  <c r="D1492" i="8"/>
  <c r="E1491" i="8"/>
  <c r="D1491" i="8"/>
  <c r="E1490" i="8"/>
  <c r="D1490" i="8"/>
  <c r="E1489" i="8"/>
  <c r="D1489" i="8"/>
  <c r="E1488" i="8"/>
  <c r="D1488" i="8"/>
  <c r="E1487" i="8"/>
  <c r="D1487" i="8"/>
  <c r="E1486" i="8"/>
  <c r="D1486" i="8"/>
  <c r="E1485" i="8"/>
  <c r="D1485" i="8"/>
  <c r="E1484" i="8"/>
  <c r="D1484" i="8"/>
  <c r="E1483" i="8"/>
  <c r="D1483" i="8"/>
  <c r="E1482" i="8"/>
  <c r="D1482" i="8"/>
  <c r="E1481" i="8"/>
  <c r="D1481" i="8"/>
  <c r="E1480" i="8"/>
  <c r="D1480" i="8"/>
  <c r="E1479" i="8"/>
  <c r="D1479" i="8"/>
  <c r="E1478" i="8"/>
  <c r="D1478" i="8"/>
  <c r="E1477" i="8"/>
  <c r="D1477" i="8"/>
  <c r="E1476" i="8"/>
  <c r="D1476" i="8"/>
  <c r="E1475" i="8"/>
  <c r="D1475" i="8"/>
  <c r="E1474" i="8"/>
  <c r="D1474" i="8"/>
  <c r="E1473" i="8"/>
  <c r="D1473" i="8"/>
  <c r="E1472" i="8"/>
  <c r="D1472" i="8"/>
  <c r="E1471" i="8"/>
  <c r="D1471" i="8"/>
  <c r="E1470" i="8"/>
  <c r="D1470" i="8"/>
  <c r="E1469" i="8"/>
  <c r="D1469" i="8"/>
  <c r="E1468" i="8"/>
  <c r="D1468" i="8"/>
  <c r="E1467" i="8"/>
  <c r="D1467" i="8"/>
  <c r="E1466" i="8"/>
  <c r="D1466" i="8"/>
  <c r="E1465" i="8"/>
  <c r="D1465" i="8"/>
  <c r="E1464" i="8"/>
  <c r="D1464" i="8"/>
  <c r="E1463" i="8"/>
  <c r="D1463" i="8"/>
  <c r="E1462" i="8"/>
  <c r="D1462" i="8"/>
  <c r="E1461" i="8"/>
  <c r="D1461" i="8"/>
  <c r="E1460" i="8"/>
  <c r="D1460" i="8"/>
  <c r="E1459" i="8"/>
  <c r="D1459" i="8"/>
  <c r="E1458" i="8"/>
  <c r="D1458" i="8"/>
  <c r="E1457" i="8"/>
  <c r="D1457" i="8"/>
  <c r="E1456" i="8"/>
  <c r="D1456" i="8"/>
  <c r="E1455" i="8"/>
  <c r="D1455" i="8"/>
  <c r="E1454" i="8"/>
  <c r="D1454" i="8"/>
  <c r="E1453" i="8"/>
  <c r="D1453" i="8"/>
  <c r="E1452" i="8"/>
  <c r="D1452" i="8"/>
  <c r="E1451" i="8"/>
  <c r="D1451" i="8"/>
  <c r="E1450" i="8"/>
  <c r="D1450" i="8"/>
  <c r="E1449" i="8"/>
  <c r="D1449" i="8"/>
  <c r="E1448" i="8"/>
  <c r="D1448" i="8"/>
  <c r="E1447" i="8"/>
  <c r="D1447" i="8"/>
  <c r="E1446" i="8"/>
  <c r="D1446" i="8"/>
  <c r="E1445" i="8"/>
  <c r="D1445" i="8"/>
  <c r="E1444" i="8"/>
  <c r="D1444" i="8"/>
  <c r="E1443" i="8"/>
  <c r="D1443" i="8"/>
  <c r="E1442" i="8"/>
  <c r="D1442" i="8"/>
  <c r="E1441" i="8"/>
  <c r="D1441" i="8"/>
  <c r="E1440" i="8"/>
  <c r="D1440" i="8"/>
  <c r="E1439" i="8"/>
  <c r="D1439" i="8"/>
  <c r="E1438" i="8"/>
  <c r="D1438" i="8"/>
  <c r="E1437" i="8"/>
  <c r="D1437" i="8"/>
  <c r="E1436" i="8"/>
  <c r="D1436" i="8"/>
  <c r="E1435" i="8"/>
  <c r="D1435" i="8"/>
  <c r="E1434" i="8"/>
  <c r="D1434" i="8"/>
  <c r="E1433" i="8"/>
  <c r="D1433" i="8"/>
  <c r="E1432" i="8"/>
  <c r="D1432" i="8"/>
  <c r="E1431" i="8"/>
  <c r="D1431" i="8"/>
  <c r="E1430" i="8"/>
  <c r="D1430" i="8"/>
  <c r="E1429" i="8"/>
  <c r="D1429" i="8"/>
  <c r="E1428" i="8"/>
  <c r="D1428" i="8"/>
  <c r="E1427" i="8"/>
  <c r="D1427" i="8"/>
  <c r="E1426" i="8"/>
  <c r="D1426" i="8"/>
  <c r="E1425" i="8"/>
  <c r="D1425" i="8"/>
  <c r="E1424" i="8"/>
  <c r="D1424" i="8"/>
  <c r="E1423" i="8"/>
  <c r="D1423" i="8"/>
  <c r="E1422" i="8"/>
  <c r="D1422" i="8"/>
  <c r="E1421" i="8"/>
  <c r="D1421" i="8"/>
  <c r="E1420" i="8"/>
  <c r="D1420" i="8"/>
  <c r="E1419" i="8"/>
  <c r="D1419" i="8"/>
  <c r="E1418" i="8"/>
  <c r="D1418" i="8"/>
  <c r="E1417" i="8"/>
  <c r="D1417" i="8"/>
  <c r="E1416" i="8"/>
  <c r="D1416" i="8"/>
  <c r="E1415" i="8"/>
  <c r="D1415" i="8"/>
  <c r="E1414" i="8"/>
  <c r="D1414" i="8"/>
  <c r="E1413" i="8"/>
  <c r="D1413" i="8"/>
  <c r="E1412" i="8"/>
  <c r="D1412" i="8"/>
  <c r="E1411" i="8"/>
  <c r="D1411" i="8"/>
  <c r="E1410" i="8"/>
  <c r="D1410" i="8"/>
  <c r="E1409" i="8"/>
  <c r="D1409" i="8"/>
  <c r="E1408" i="8"/>
  <c r="D1408" i="8"/>
  <c r="E1407" i="8"/>
  <c r="D1407" i="8"/>
  <c r="E1406" i="8"/>
  <c r="D1406" i="8"/>
  <c r="E1405" i="8"/>
  <c r="D1405" i="8"/>
  <c r="E1404" i="8"/>
  <c r="D1404" i="8"/>
  <c r="E1403" i="8"/>
  <c r="D1403" i="8"/>
  <c r="E1402" i="8"/>
  <c r="D1402" i="8"/>
  <c r="E1401" i="8"/>
  <c r="D1401" i="8"/>
  <c r="E1400" i="8"/>
  <c r="D1400" i="8"/>
  <c r="E1399" i="8"/>
  <c r="D1399" i="8"/>
  <c r="E1398" i="8"/>
  <c r="D1398" i="8"/>
  <c r="E1397" i="8"/>
  <c r="D1397" i="8"/>
  <c r="E1396" i="8"/>
  <c r="D1396" i="8"/>
  <c r="E1395" i="8"/>
  <c r="D1395" i="8"/>
  <c r="E1394" i="8"/>
  <c r="D1394" i="8"/>
  <c r="E1393" i="8"/>
  <c r="D1393" i="8"/>
  <c r="E1392" i="8"/>
  <c r="D1392" i="8"/>
  <c r="E1391" i="8"/>
  <c r="D1391" i="8"/>
  <c r="E1390" i="8"/>
  <c r="D1390" i="8"/>
  <c r="E1389" i="8"/>
  <c r="D1389" i="8"/>
  <c r="E1388" i="8"/>
  <c r="D1388" i="8"/>
  <c r="E1387" i="8"/>
  <c r="D1387" i="8"/>
  <c r="E1386" i="8"/>
  <c r="D1386" i="8"/>
  <c r="E1385" i="8"/>
  <c r="D1385" i="8"/>
  <c r="E1384" i="8"/>
  <c r="D1384" i="8"/>
  <c r="E1383" i="8"/>
  <c r="D1383" i="8"/>
  <c r="E1382" i="8"/>
  <c r="D1382" i="8"/>
  <c r="E1381" i="8"/>
  <c r="D1381" i="8"/>
  <c r="E1380" i="8"/>
  <c r="D1380" i="8"/>
  <c r="E1379" i="8"/>
  <c r="D1379" i="8"/>
  <c r="E1378" i="8"/>
  <c r="D1378" i="8"/>
  <c r="E1377" i="8"/>
  <c r="D1377" i="8"/>
  <c r="E1376" i="8"/>
  <c r="D1376" i="8"/>
  <c r="E1375" i="8"/>
  <c r="D1375" i="8"/>
  <c r="E1374" i="8"/>
  <c r="D1374" i="8"/>
  <c r="E1373" i="8"/>
  <c r="D1373" i="8"/>
  <c r="E1372" i="8"/>
  <c r="D1372" i="8"/>
  <c r="E1371" i="8"/>
  <c r="D1371" i="8"/>
  <c r="E1370" i="8"/>
  <c r="D1370" i="8"/>
  <c r="E1369" i="8"/>
  <c r="D1369" i="8"/>
  <c r="E1368" i="8"/>
  <c r="D1368" i="8"/>
  <c r="E1367" i="8"/>
  <c r="D1367" i="8"/>
  <c r="E1366" i="8"/>
  <c r="D1366" i="8"/>
  <c r="E1365" i="8"/>
  <c r="D1365" i="8"/>
  <c r="E1364" i="8"/>
  <c r="D1364" i="8"/>
  <c r="E1363" i="8"/>
  <c r="D1363" i="8"/>
  <c r="E1362" i="8"/>
  <c r="D1362" i="8"/>
  <c r="E1361" i="8"/>
  <c r="D1361" i="8"/>
  <c r="E1360" i="8"/>
  <c r="D1360" i="8"/>
  <c r="E1359" i="8"/>
  <c r="D1359" i="8"/>
  <c r="E1358" i="8"/>
  <c r="D1358" i="8"/>
  <c r="E1357" i="8"/>
  <c r="D1357" i="8"/>
  <c r="E1356" i="8"/>
  <c r="D1356" i="8"/>
  <c r="E1355" i="8"/>
  <c r="D1355" i="8"/>
  <c r="E1354" i="8"/>
  <c r="D1354" i="8"/>
  <c r="E1353" i="8"/>
  <c r="D1353" i="8"/>
  <c r="E1352" i="8"/>
  <c r="D1352" i="8"/>
  <c r="E1351" i="8"/>
  <c r="D1351" i="8"/>
  <c r="E1350" i="8"/>
  <c r="D1350" i="8"/>
  <c r="E1349" i="8"/>
  <c r="D1349" i="8"/>
  <c r="E1348" i="8"/>
  <c r="D1348" i="8"/>
  <c r="E1347" i="8"/>
  <c r="D1347" i="8"/>
  <c r="E1346" i="8"/>
  <c r="D1346" i="8"/>
  <c r="E1345" i="8"/>
  <c r="D1345" i="8"/>
  <c r="E1344" i="8"/>
  <c r="D1344" i="8"/>
  <c r="E1343" i="8"/>
  <c r="D1343" i="8"/>
  <c r="E1342" i="8"/>
  <c r="D1342" i="8"/>
  <c r="E1341" i="8"/>
  <c r="D1341" i="8"/>
  <c r="E1340" i="8"/>
  <c r="D1340" i="8"/>
  <c r="E1339" i="8"/>
  <c r="D1339" i="8"/>
  <c r="E1338" i="8"/>
  <c r="D1338" i="8"/>
  <c r="E1337" i="8"/>
  <c r="D1337" i="8"/>
  <c r="E1336" i="8"/>
  <c r="D1336" i="8"/>
  <c r="E1335" i="8"/>
  <c r="D1335" i="8"/>
  <c r="E1334" i="8"/>
  <c r="D1334" i="8"/>
  <c r="E1333" i="8"/>
  <c r="D1333" i="8"/>
  <c r="E1332" i="8"/>
  <c r="D1332" i="8"/>
  <c r="E1331" i="8"/>
  <c r="D1331" i="8"/>
  <c r="E1330" i="8"/>
  <c r="D1330" i="8"/>
  <c r="E1329" i="8"/>
  <c r="D1329" i="8"/>
  <c r="E1328" i="8"/>
  <c r="D1328" i="8"/>
  <c r="E1327" i="8"/>
  <c r="D1327" i="8"/>
  <c r="E1326" i="8"/>
  <c r="D1326" i="8"/>
  <c r="E1325" i="8"/>
  <c r="D1325" i="8"/>
  <c r="E1324" i="8"/>
  <c r="D1324" i="8"/>
  <c r="E1323" i="8"/>
  <c r="D1323" i="8"/>
  <c r="E1322" i="8"/>
  <c r="D1322" i="8"/>
  <c r="E1321" i="8"/>
  <c r="D1321" i="8"/>
  <c r="E1320" i="8"/>
  <c r="D1320" i="8"/>
  <c r="E1319" i="8"/>
  <c r="D1319" i="8"/>
  <c r="E1318" i="8"/>
  <c r="D1318" i="8"/>
  <c r="E1317" i="8"/>
  <c r="D1317" i="8"/>
  <c r="E1316" i="8"/>
  <c r="D1316" i="8"/>
  <c r="E1315" i="8"/>
  <c r="D1315" i="8"/>
  <c r="E1314" i="8"/>
  <c r="D1314" i="8"/>
  <c r="E1313" i="8"/>
  <c r="D1313" i="8"/>
  <c r="E1312" i="8"/>
  <c r="D1312" i="8"/>
  <c r="E1311" i="8"/>
  <c r="D1311" i="8"/>
  <c r="E1310" i="8"/>
  <c r="D1310" i="8"/>
  <c r="E1309" i="8"/>
  <c r="D1309" i="8"/>
  <c r="E1308" i="8"/>
  <c r="D1308" i="8"/>
  <c r="E1307" i="8"/>
  <c r="D1307" i="8"/>
  <c r="E1306" i="8"/>
  <c r="D1306" i="8"/>
  <c r="E1305" i="8"/>
  <c r="D1305" i="8"/>
  <c r="E1304" i="8"/>
  <c r="D1304" i="8"/>
  <c r="E1303" i="8"/>
  <c r="D1303" i="8"/>
  <c r="E1302" i="8"/>
  <c r="D1302" i="8"/>
  <c r="E1301" i="8"/>
  <c r="D1301" i="8"/>
  <c r="E1300" i="8"/>
  <c r="D1300" i="8"/>
  <c r="E1299" i="8"/>
  <c r="D1299" i="8"/>
  <c r="E1298" i="8"/>
  <c r="D1298" i="8"/>
  <c r="E1297" i="8"/>
  <c r="D1297" i="8"/>
  <c r="E1296" i="8"/>
  <c r="D1296" i="8"/>
  <c r="E1295" i="8"/>
  <c r="D1295" i="8"/>
  <c r="E1294" i="8"/>
  <c r="D1294" i="8"/>
  <c r="E1293" i="8"/>
  <c r="D1293" i="8"/>
  <c r="E1292" i="8"/>
  <c r="D1292" i="8"/>
  <c r="E1291" i="8"/>
  <c r="D1291" i="8"/>
  <c r="E1290" i="8"/>
  <c r="D1290" i="8"/>
  <c r="E1289" i="8"/>
  <c r="D1289" i="8"/>
  <c r="E1288" i="8"/>
  <c r="D1288" i="8"/>
  <c r="E1287" i="8"/>
  <c r="D1287" i="8"/>
  <c r="E1286" i="8"/>
  <c r="D1286" i="8"/>
  <c r="E1285" i="8"/>
  <c r="D1285" i="8"/>
  <c r="E1284" i="8"/>
  <c r="D1284" i="8"/>
  <c r="E1283" i="8"/>
  <c r="D1283" i="8"/>
  <c r="E1282" i="8"/>
  <c r="D1282" i="8"/>
  <c r="E1281" i="8"/>
  <c r="D1281" i="8"/>
  <c r="E1280" i="8"/>
  <c r="D1280" i="8"/>
  <c r="E1279" i="8"/>
  <c r="D1279" i="8"/>
  <c r="E1278" i="8"/>
  <c r="D1278" i="8"/>
  <c r="E1277" i="8"/>
  <c r="D1277" i="8"/>
  <c r="E1276" i="8"/>
  <c r="D1276" i="8"/>
  <c r="E1275" i="8"/>
  <c r="D1275" i="8"/>
  <c r="E1274" i="8"/>
  <c r="D1274" i="8"/>
  <c r="E1273" i="8"/>
  <c r="D1273" i="8"/>
  <c r="E1272" i="8"/>
  <c r="D1272" i="8"/>
  <c r="E1271" i="8"/>
  <c r="D1271" i="8"/>
  <c r="E1270" i="8"/>
  <c r="D1270" i="8"/>
  <c r="E1269" i="8"/>
  <c r="D1269" i="8"/>
  <c r="E1268" i="8"/>
  <c r="D1268" i="8"/>
  <c r="E1267" i="8"/>
  <c r="D1267" i="8"/>
  <c r="E1266" i="8"/>
  <c r="D1266" i="8"/>
  <c r="E1265" i="8"/>
  <c r="D1265" i="8"/>
  <c r="E1264" i="8"/>
  <c r="D1264" i="8"/>
  <c r="E1263" i="8"/>
  <c r="D1263" i="8"/>
  <c r="E1262" i="8"/>
  <c r="D1262" i="8"/>
  <c r="E1261" i="8"/>
  <c r="D1261" i="8"/>
  <c r="E1260" i="8"/>
  <c r="D1260" i="8"/>
  <c r="E1259" i="8"/>
  <c r="D1259" i="8"/>
  <c r="E1258" i="8"/>
  <c r="D1258" i="8"/>
  <c r="E1257" i="8"/>
  <c r="D1257" i="8"/>
  <c r="E1256" i="8"/>
  <c r="D1256" i="8"/>
  <c r="E1255" i="8"/>
  <c r="D1255" i="8"/>
  <c r="E1254" i="8"/>
  <c r="D1254" i="8"/>
  <c r="E1253" i="8"/>
  <c r="D1253" i="8"/>
  <c r="E1252" i="8"/>
  <c r="D1252" i="8"/>
  <c r="E1251" i="8"/>
  <c r="D1251" i="8"/>
  <c r="E1250" i="8"/>
  <c r="D1250" i="8"/>
  <c r="E1249" i="8"/>
  <c r="D1249" i="8"/>
  <c r="E1248" i="8"/>
  <c r="D1248" i="8"/>
  <c r="E1247" i="8"/>
  <c r="D1247" i="8"/>
  <c r="E1246" i="8"/>
  <c r="D1246" i="8"/>
  <c r="E1245" i="8"/>
  <c r="D1245" i="8"/>
  <c r="E1244" i="8"/>
  <c r="D1244" i="8"/>
  <c r="E1243" i="8"/>
  <c r="D1243" i="8"/>
  <c r="E1242" i="8"/>
  <c r="D1242" i="8"/>
  <c r="E1241" i="8"/>
  <c r="D1241" i="8"/>
  <c r="E1240" i="8"/>
  <c r="D1240" i="8"/>
  <c r="E1239" i="8"/>
  <c r="D1239" i="8"/>
  <c r="E1238" i="8"/>
  <c r="D1238" i="8"/>
  <c r="E1237" i="8"/>
  <c r="D1237" i="8"/>
  <c r="E1236" i="8"/>
  <c r="D1236" i="8"/>
  <c r="E1235" i="8"/>
  <c r="D1235" i="8"/>
  <c r="E1234" i="8"/>
  <c r="D1234" i="8"/>
  <c r="E1233" i="8"/>
  <c r="D1233" i="8"/>
  <c r="E1232" i="8"/>
  <c r="D1232" i="8"/>
  <c r="E1231" i="8"/>
  <c r="D1231" i="8"/>
  <c r="E1230" i="8"/>
  <c r="D1230" i="8"/>
  <c r="E1229" i="8"/>
  <c r="D1229" i="8"/>
  <c r="E1228" i="8"/>
  <c r="D1228" i="8"/>
  <c r="E1227" i="8"/>
  <c r="D1227" i="8"/>
  <c r="E1226" i="8"/>
  <c r="D1226" i="8"/>
  <c r="E1225" i="8"/>
  <c r="D1225" i="8"/>
  <c r="E1224" i="8"/>
  <c r="D1224" i="8"/>
  <c r="E1223" i="8"/>
  <c r="D1223" i="8"/>
  <c r="E1222" i="8"/>
  <c r="D1222" i="8"/>
  <c r="E1221" i="8"/>
  <c r="D1221" i="8"/>
  <c r="E1220" i="8"/>
  <c r="D1220" i="8"/>
  <c r="E1219" i="8"/>
  <c r="D1219" i="8"/>
  <c r="E1218" i="8"/>
  <c r="D1218" i="8"/>
  <c r="E1217" i="8"/>
  <c r="D1217" i="8"/>
  <c r="E1216" i="8"/>
  <c r="D1216" i="8"/>
  <c r="E1215" i="8"/>
  <c r="D1215" i="8"/>
  <c r="E1214" i="8"/>
  <c r="D1214" i="8"/>
  <c r="E1213" i="8"/>
  <c r="D1213" i="8"/>
  <c r="E1212" i="8"/>
  <c r="D1212" i="8"/>
  <c r="E1211" i="8"/>
  <c r="D1211" i="8"/>
  <c r="E1210" i="8"/>
  <c r="D1210" i="8"/>
  <c r="E1209" i="8"/>
  <c r="D1209" i="8"/>
  <c r="E1208" i="8"/>
  <c r="D1208" i="8"/>
  <c r="E1207" i="8"/>
  <c r="D1207" i="8"/>
  <c r="E1206" i="8"/>
  <c r="D1206" i="8"/>
  <c r="E1205" i="8"/>
  <c r="D1205" i="8"/>
  <c r="E1204" i="8"/>
  <c r="D1204" i="8"/>
  <c r="E1203" i="8"/>
  <c r="D1203" i="8"/>
  <c r="E1202" i="8"/>
  <c r="D1202" i="8"/>
  <c r="E1201" i="8"/>
  <c r="D1201" i="8"/>
  <c r="E1200" i="8"/>
  <c r="D1200" i="8"/>
  <c r="E1199" i="8"/>
  <c r="D1199" i="8"/>
  <c r="E1198" i="8"/>
  <c r="D1198" i="8"/>
  <c r="E1197" i="8"/>
  <c r="D1197" i="8"/>
  <c r="E1196" i="8"/>
  <c r="D1196" i="8"/>
  <c r="E1195" i="8"/>
  <c r="D1195" i="8"/>
  <c r="E1194" i="8"/>
  <c r="D1194" i="8"/>
  <c r="E1193" i="8"/>
  <c r="D1193" i="8"/>
  <c r="E1192" i="8"/>
  <c r="D1192" i="8"/>
  <c r="E1191" i="8"/>
  <c r="D1191" i="8"/>
  <c r="E1190" i="8"/>
  <c r="D1190" i="8"/>
  <c r="E1189" i="8"/>
  <c r="D1189" i="8"/>
  <c r="E1188" i="8"/>
  <c r="D1188" i="8"/>
  <c r="E1187" i="8"/>
  <c r="D1187" i="8"/>
  <c r="E1186" i="8"/>
  <c r="D1186" i="8"/>
  <c r="E1185" i="8"/>
  <c r="D1185" i="8"/>
  <c r="E1184" i="8"/>
  <c r="D1184" i="8"/>
  <c r="E1183" i="8"/>
  <c r="D1183" i="8"/>
  <c r="E1182" i="8"/>
  <c r="D1182" i="8"/>
  <c r="E1181" i="8"/>
  <c r="D1181" i="8"/>
  <c r="E1180" i="8"/>
  <c r="D1180" i="8"/>
  <c r="E1179" i="8"/>
  <c r="D1179" i="8"/>
  <c r="E1178" i="8"/>
  <c r="D1178" i="8"/>
  <c r="E1177" i="8"/>
  <c r="D1177" i="8"/>
  <c r="E1176" i="8"/>
  <c r="D1176" i="8"/>
  <c r="E1175" i="8"/>
  <c r="D1175" i="8"/>
  <c r="E1174" i="8"/>
  <c r="D1174" i="8"/>
  <c r="E1173" i="8"/>
  <c r="D1173" i="8"/>
  <c r="E1172" i="8"/>
  <c r="D1172" i="8"/>
  <c r="E1171" i="8"/>
  <c r="D1171" i="8"/>
  <c r="E1170" i="8"/>
  <c r="D1170" i="8"/>
  <c r="E1169" i="8"/>
  <c r="D1169" i="8"/>
  <c r="E1168" i="8"/>
  <c r="D1168" i="8"/>
  <c r="E1167" i="8"/>
  <c r="D1167" i="8"/>
  <c r="E1166" i="8"/>
  <c r="D1166" i="8"/>
  <c r="E1165" i="8"/>
  <c r="D1165" i="8"/>
  <c r="E1164" i="8"/>
  <c r="D1164" i="8"/>
  <c r="E1163" i="8"/>
  <c r="D1163" i="8"/>
  <c r="E1162" i="8"/>
  <c r="D1162" i="8"/>
  <c r="E1161" i="8"/>
  <c r="D1161" i="8"/>
  <c r="E1160" i="8"/>
  <c r="D1160" i="8"/>
  <c r="E1159" i="8"/>
  <c r="D1159" i="8"/>
  <c r="E1158" i="8"/>
  <c r="D1158" i="8"/>
  <c r="E1157" i="8"/>
  <c r="D1157" i="8"/>
  <c r="E1156" i="8"/>
  <c r="D1156" i="8"/>
  <c r="E1155" i="8"/>
  <c r="D1155" i="8"/>
  <c r="E1154" i="8"/>
  <c r="D1154" i="8"/>
  <c r="E1153" i="8"/>
  <c r="D1153" i="8"/>
  <c r="E1152" i="8"/>
  <c r="D1152" i="8"/>
  <c r="E1151" i="8"/>
  <c r="D1151" i="8"/>
  <c r="E1150" i="8"/>
  <c r="D1150" i="8"/>
  <c r="E1149" i="8"/>
  <c r="D1149" i="8"/>
  <c r="E1148" i="8"/>
  <c r="D1148" i="8"/>
  <c r="E1147" i="8"/>
  <c r="D1147" i="8"/>
  <c r="E1146" i="8"/>
  <c r="D1146" i="8"/>
  <c r="E1145" i="8"/>
  <c r="D1145" i="8"/>
  <c r="E1144" i="8"/>
  <c r="D1144" i="8"/>
  <c r="E1143" i="8"/>
  <c r="D1143" i="8"/>
  <c r="E1142" i="8"/>
  <c r="D1142" i="8"/>
  <c r="E1141" i="8"/>
  <c r="D1141" i="8"/>
  <c r="E1140" i="8"/>
  <c r="D1140" i="8"/>
  <c r="E1139" i="8"/>
  <c r="D1139" i="8"/>
  <c r="E1138" i="8"/>
  <c r="D1138" i="8"/>
  <c r="E1137" i="8"/>
  <c r="D1137" i="8"/>
  <c r="E1136" i="8"/>
  <c r="D1136" i="8"/>
  <c r="E1135" i="8"/>
  <c r="D1135" i="8"/>
  <c r="E1134" i="8"/>
  <c r="D1134" i="8"/>
  <c r="E1133" i="8"/>
  <c r="D1133" i="8"/>
  <c r="E1132" i="8"/>
  <c r="D1132" i="8"/>
  <c r="E1131" i="8"/>
  <c r="D1131" i="8"/>
  <c r="E1130" i="8"/>
  <c r="D1130" i="8"/>
  <c r="E1129" i="8"/>
  <c r="D1129" i="8"/>
  <c r="E1128" i="8"/>
  <c r="D1128" i="8"/>
  <c r="E1127" i="8"/>
  <c r="D1127" i="8"/>
  <c r="E1126" i="8"/>
  <c r="D1126" i="8"/>
  <c r="E1125" i="8"/>
  <c r="D1125" i="8"/>
  <c r="E1124" i="8"/>
  <c r="D1124" i="8"/>
  <c r="E1123" i="8"/>
  <c r="D1123" i="8"/>
  <c r="E1122" i="8"/>
  <c r="D1122" i="8"/>
  <c r="E1121" i="8"/>
  <c r="D1121" i="8"/>
  <c r="E1120" i="8"/>
  <c r="D1120" i="8"/>
  <c r="E1119" i="8"/>
  <c r="D1119" i="8"/>
  <c r="E1118" i="8"/>
  <c r="D1118" i="8"/>
  <c r="E1117" i="8"/>
  <c r="D1117" i="8"/>
  <c r="E1116" i="8"/>
  <c r="D1116" i="8"/>
  <c r="E1115" i="8"/>
  <c r="D1115" i="8"/>
  <c r="E1114" i="8"/>
  <c r="D1114" i="8"/>
  <c r="E1113" i="8"/>
  <c r="D1113" i="8"/>
  <c r="E1112" i="8"/>
  <c r="D1112" i="8"/>
  <c r="E1111" i="8"/>
  <c r="D1111" i="8"/>
  <c r="E1110" i="8"/>
  <c r="D1110" i="8"/>
  <c r="E1109" i="8"/>
  <c r="D1109" i="8"/>
  <c r="E1108" i="8"/>
  <c r="D1108" i="8"/>
  <c r="E1107" i="8"/>
  <c r="D1107" i="8"/>
  <c r="E1106" i="8"/>
  <c r="D1106" i="8"/>
  <c r="E1105" i="8"/>
  <c r="D1105" i="8"/>
  <c r="E1104" i="8"/>
  <c r="D1104" i="8"/>
  <c r="E1103" i="8"/>
  <c r="D1103" i="8"/>
  <c r="E1102" i="8"/>
  <c r="D1102" i="8"/>
  <c r="E1101" i="8"/>
  <c r="D1101" i="8"/>
  <c r="E1100" i="8"/>
  <c r="D1100" i="8"/>
  <c r="E1099" i="8"/>
  <c r="D1099" i="8"/>
  <c r="E1098" i="8"/>
  <c r="D1098" i="8"/>
  <c r="E1097" i="8"/>
  <c r="D1097" i="8"/>
  <c r="E1096" i="8"/>
  <c r="D1096" i="8"/>
  <c r="E1095" i="8"/>
  <c r="D1095" i="8"/>
  <c r="E1094" i="8"/>
  <c r="D1094" i="8"/>
  <c r="E1093" i="8"/>
  <c r="D1093" i="8"/>
  <c r="E1092" i="8"/>
  <c r="D1092" i="8"/>
  <c r="E1091" i="8"/>
  <c r="D1091" i="8"/>
  <c r="E1090" i="8"/>
  <c r="D1090" i="8"/>
  <c r="E1089" i="8"/>
  <c r="D1089" i="8"/>
  <c r="E1088" i="8"/>
  <c r="D1088" i="8"/>
  <c r="E1087" i="8"/>
  <c r="D1087" i="8"/>
  <c r="E1086" i="8"/>
  <c r="D1086" i="8"/>
  <c r="E1085" i="8"/>
  <c r="D1085" i="8"/>
  <c r="E1084" i="8"/>
  <c r="D1084" i="8"/>
  <c r="E1083" i="8"/>
  <c r="D1083" i="8"/>
  <c r="E1082" i="8"/>
  <c r="D1082" i="8"/>
  <c r="E1081" i="8"/>
  <c r="D1081" i="8"/>
  <c r="E1080" i="8"/>
  <c r="D1080" i="8"/>
  <c r="E1079" i="8"/>
  <c r="D1079" i="8"/>
  <c r="E1078" i="8"/>
  <c r="D1078" i="8"/>
  <c r="E1077" i="8"/>
  <c r="D1077" i="8"/>
  <c r="E1076" i="8"/>
  <c r="D1076" i="8"/>
  <c r="E1075" i="8"/>
  <c r="D1075" i="8"/>
  <c r="E1074" i="8"/>
  <c r="D1074" i="8"/>
  <c r="E1073" i="8"/>
  <c r="D1073" i="8"/>
  <c r="E1072" i="8"/>
  <c r="D1072" i="8"/>
  <c r="E1071" i="8"/>
  <c r="D1071" i="8"/>
  <c r="E1070" i="8"/>
  <c r="D1070" i="8"/>
  <c r="E1069" i="8"/>
  <c r="D1069" i="8"/>
  <c r="E1068" i="8"/>
  <c r="D1068" i="8"/>
  <c r="E1067" i="8"/>
  <c r="D1067" i="8"/>
  <c r="E1066" i="8"/>
  <c r="D1066" i="8"/>
  <c r="E1065" i="8"/>
  <c r="D1065" i="8"/>
  <c r="E1064" i="8"/>
  <c r="D1064" i="8"/>
  <c r="E1063" i="8"/>
  <c r="D1063" i="8"/>
  <c r="E1062" i="8"/>
  <c r="D1062" i="8"/>
  <c r="E1061" i="8"/>
  <c r="D1061" i="8"/>
  <c r="E1060" i="8"/>
  <c r="D1060" i="8"/>
  <c r="E1059" i="8"/>
  <c r="D1059" i="8"/>
  <c r="E1058" i="8"/>
  <c r="D1058" i="8"/>
  <c r="E1057" i="8"/>
  <c r="D1057" i="8"/>
  <c r="E1056" i="8"/>
  <c r="D1056" i="8"/>
  <c r="E1055" i="8"/>
  <c r="D1055" i="8"/>
  <c r="E1054" i="8"/>
  <c r="D1054" i="8"/>
  <c r="E1053" i="8"/>
  <c r="D1053" i="8"/>
  <c r="E1052" i="8"/>
  <c r="D1052" i="8"/>
  <c r="E1051" i="8"/>
  <c r="D1051" i="8"/>
  <c r="E1050" i="8"/>
  <c r="D1050" i="8"/>
  <c r="E1049" i="8"/>
  <c r="D1049" i="8"/>
  <c r="E1048" i="8"/>
  <c r="D1048" i="8"/>
  <c r="E1047" i="8"/>
  <c r="D1047" i="8"/>
  <c r="E1046" i="8"/>
  <c r="D1046" i="8"/>
  <c r="E1045" i="8"/>
  <c r="D1045" i="8"/>
  <c r="E1044" i="8"/>
  <c r="D1044" i="8"/>
  <c r="E1043" i="8"/>
  <c r="D1043" i="8"/>
  <c r="E1042" i="8"/>
  <c r="D1042" i="8"/>
  <c r="E1041" i="8"/>
  <c r="D1041" i="8"/>
  <c r="E1040" i="8"/>
  <c r="D1040" i="8"/>
  <c r="E1039" i="8"/>
  <c r="D1039" i="8"/>
  <c r="E1038" i="8"/>
  <c r="D1038" i="8"/>
  <c r="E1037" i="8"/>
  <c r="D1037" i="8"/>
  <c r="E1036" i="8"/>
  <c r="D1036" i="8"/>
  <c r="E1035" i="8"/>
  <c r="D1035" i="8"/>
  <c r="E1034" i="8"/>
  <c r="D1034" i="8"/>
  <c r="E1033" i="8"/>
  <c r="D1033" i="8"/>
  <c r="E1032" i="8"/>
  <c r="D1032" i="8"/>
  <c r="E1031" i="8"/>
  <c r="D1031" i="8"/>
  <c r="E1030" i="8"/>
  <c r="D1030" i="8"/>
  <c r="E1029" i="8"/>
  <c r="D1029" i="8"/>
  <c r="E1028" i="8"/>
  <c r="D1028" i="8"/>
  <c r="E1027" i="8"/>
  <c r="D1027" i="8"/>
  <c r="E1026" i="8"/>
  <c r="D1026" i="8"/>
  <c r="E1025" i="8"/>
  <c r="D1025" i="8"/>
  <c r="E1024" i="8"/>
  <c r="D1024" i="8"/>
  <c r="E1023" i="8"/>
  <c r="D1023" i="8"/>
  <c r="E1022" i="8"/>
  <c r="D1022" i="8"/>
  <c r="E1021" i="8"/>
  <c r="D1021" i="8"/>
  <c r="E1020" i="8"/>
  <c r="D1020" i="8"/>
  <c r="E1019" i="8"/>
  <c r="D1019" i="8"/>
  <c r="E1018" i="8"/>
  <c r="D1018" i="8"/>
  <c r="E1017" i="8"/>
  <c r="D1017" i="8"/>
  <c r="E1016" i="8"/>
  <c r="D1016" i="8"/>
  <c r="E1015" i="8"/>
  <c r="D1015" i="8"/>
  <c r="E1014" i="8"/>
  <c r="D1014" i="8"/>
  <c r="E1013" i="8"/>
  <c r="D1013" i="8"/>
  <c r="E1012" i="8"/>
  <c r="D1012" i="8"/>
  <c r="E1011" i="8"/>
  <c r="D1011" i="8"/>
  <c r="E1010" i="8"/>
  <c r="D1010" i="8"/>
  <c r="E1009" i="8"/>
  <c r="D1009" i="8"/>
  <c r="E1008" i="8"/>
  <c r="D1008" i="8"/>
  <c r="E1007" i="8"/>
  <c r="D1007" i="8"/>
  <c r="E1006" i="8"/>
  <c r="D1006" i="8"/>
  <c r="E1005" i="8"/>
  <c r="D1005" i="8"/>
  <c r="E1004" i="8"/>
  <c r="D1004" i="8"/>
  <c r="E1003" i="8"/>
  <c r="D1003" i="8"/>
  <c r="E1002" i="8"/>
  <c r="D1002" i="8"/>
  <c r="I1001" i="8"/>
  <c r="E1001" i="8"/>
  <c r="I1000" i="8"/>
  <c r="I999" i="8"/>
  <c r="I998" i="8"/>
  <c r="E997" i="8"/>
  <c r="D997" i="8"/>
  <c r="E996" i="8"/>
  <c r="D996" i="8"/>
  <c r="E995" i="8"/>
  <c r="D995" i="8"/>
  <c r="E994" i="8"/>
  <c r="D994" i="8"/>
  <c r="I993" i="8"/>
  <c r="E992" i="8"/>
  <c r="D992" i="8"/>
  <c r="E991" i="8"/>
  <c r="D991" i="8"/>
  <c r="E990" i="8"/>
  <c r="D990" i="8"/>
  <c r="E989" i="8"/>
  <c r="D989" i="8"/>
  <c r="E988" i="8"/>
  <c r="D988" i="8"/>
  <c r="E987" i="8"/>
  <c r="D987" i="8"/>
  <c r="E986" i="8"/>
  <c r="D986" i="8"/>
  <c r="E985" i="8"/>
  <c r="D985" i="8"/>
  <c r="E984" i="8"/>
  <c r="D984" i="8"/>
  <c r="E983" i="8"/>
  <c r="D983" i="8"/>
  <c r="E982" i="8"/>
  <c r="D982" i="8"/>
  <c r="E981" i="8"/>
  <c r="D981" i="8"/>
  <c r="E980" i="8"/>
  <c r="D980" i="8"/>
  <c r="E979" i="8"/>
  <c r="D979" i="8"/>
  <c r="E978" i="8"/>
  <c r="D978" i="8"/>
  <c r="E977" i="8"/>
  <c r="D977" i="8"/>
  <c r="E976" i="8"/>
  <c r="D976" i="8"/>
  <c r="E975" i="8"/>
  <c r="D975" i="8"/>
  <c r="E974" i="8"/>
  <c r="D974" i="8"/>
  <c r="E973" i="8"/>
  <c r="D973" i="8"/>
  <c r="E972" i="8"/>
  <c r="D972" i="8"/>
  <c r="E971" i="8"/>
  <c r="D971" i="8"/>
  <c r="E970" i="8"/>
  <c r="D970" i="8"/>
  <c r="E969" i="8"/>
  <c r="D969" i="8"/>
  <c r="E968" i="8"/>
  <c r="D968" i="8"/>
  <c r="E967" i="8"/>
  <c r="D967" i="8"/>
  <c r="E966" i="8"/>
  <c r="D966" i="8"/>
  <c r="E965" i="8"/>
  <c r="D965" i="8"/>
  <c r="E964" i="8"/>
  <c r="D964" i="8"/>
  <c r="E963" i="8"/>
  <c r="D963" i="8"/>
  <c r="E962" i="8"/>
  <c r="D962" i="8"/>
  <c r="E961" i="8"/>
  <c r="D961" i="8"/>
  <c r="E960" i="8"/>
  <c r="D960" i="8"/>
  <c r="E959" i="8"/>
  <c r="D959" i="8"/>
  <c r="E958" i="8"/>
  <c r="D958" i="8"/>
  <c r="E957" i="8"/>
  <c r="D957" i="8"/>
  <c r="E956" i="8"/>
  <c r="D956" i="8"/>
  <c r="E955" i="8"/>
  <c r="D955" i="8"/>
  <c r="E954" i="8"/>
  <c r="D954" i="8"/>
  <c r="E953" i="8"/>
  <c r="D953" i="8"/>
  <c r="E952" i="8"/>
  <c r="D952" i="8"/>
  <c r="E951" i="8"/>
  <c r="D951" i="8"/>
  <c r="E950" i="8"/>
  <c r="D950" i="8"/>
  <c r="E949" i="8"/>
  <c r="D949" i="8"/>
  <c r="E948" i="8"/>
  <c r="D948" i="8"/>
  <c r="E947" i="8"/>
  <c r="D947" i="8"/>
  <c r="E946" i="8"/>
  <c r="D946" i="8"/>
  <c r="E945" i="8"/>
  <c r="D945" i="8"/>
  <c r="E944" i="8"/>
  <c r="D944" i="8"/>
  <c r="E943" i="8"/>
  <c r="D943" i="8"/>
  <c r="E942" i="8"/>
  <c r="D942" i="8"/>
  <c r="E941" i="8"/>
  <c r="D941" i="8"/>
  <c r="E940" i="8"/>
  <c r="D940" i="8"/>
  <c r="E939" i="8"/>
  <c r="D939" i="8"/>
  <c r="E938" i="8"/>
  <c r="D938" i="8"/>
  <c r="E937" i="8"/>
  <c r="D937" i="8"/>
  <c r="E936" i="8"/>
  <c r="D936" i="8"/>
  <c r="E935" i="8"/>
  <c r="D935" i="8"/>
  <c r="E934" i="8"/>
  <c r="D934" i="8"/>
  <c r="E933" i="8"/>
  <c r="D933" i="8"/>
  <c r="E932" i="8"/>
  <c r="D932" i="8"/>
  <c r="E931" i="8"/>
  <c r="D931" i="8"/>
  <c r="E930" i="8"/>
  <c r="D930" i="8"/>
  <c r="E929" i="8"/>
  <c r="D929" i="8"/>
  <c r="E928" i="8"/>
  <c r="D928" i="8"/>
  <c r="E927" i="8"/>
  <c r="D927" i="8"/>
  <c r="E926" i="8"/>
  <c r="D926" i="8"/>
  <c r="E925" i="8"/>
  <c r="D925" i="8"/>
  <c r="E924" i="8"/>
  <c r="D924" i="8"/>
  <c r="E923" i="8"/>
  <c r="D923" i="8"/>
  <c r="E922" i="8"/>
  <c r="D922" i="8"/>
  <c r="E921" i="8"/>
  <c r="D921" i="8"/>
  <c r="E920" i="8"/>
  <c r="D920" i="8"/>
  <c r="E919" i="8"/>
  <c r="D919" i="8"/>
  <c r="E918" i="8"/>
  <c r="D918" i="8"/>
  <c r="E917" i="8"/>
  <c r="D917" i="8"/>
  <c r="E916" i="8"/>
  <c r="D916" i="8"/>
  <c r="E915" i="8"/>
  <c r="D915" i="8"/>
  <c r="E914" i="8"/>
  <c r="D914" i="8"/>
  <c r="E913" i="8"/>
  <c r="D913" i="8"/>
  <c r="E912" i="8"/>
  <c r="D912" i="8"/>
  <c r="E911" i="8"/>
  <c r="D911" i="8"/>
  <c r="E910" i="8"/>
  <c r="D910" i="8"/>
  <c r="E909" i="8"/>
  <c r="D909" i="8"/>
  <c r="E908" i="8"/>
  <c r="D908" i="8"/>
  <c r="E907" i="8"/>
  <c r="D907" i="8"/>
  <c r="E906" i="8"/>
  <c r="D906" i="8"/>
  <c r="E905" i="8"/>
  <c r="D905" i="8"/>
  <c r="E904" i="8"/>
  <c r="D904" i="8"/>
  <c r="E903" i="8"/>
  <c r="D903" i="8"/>
  <c r="E902" i="8"/>
  <c r="D902" i="8"/>
  <c r="E901" i="8"/>
  <c r="D901" i="8"/>
  <c r="E900" i="8"/>
  <c r="D900" i="8"/>
  <c r="E899" i="8"/>
  <c r="D899" i="8"/>
  <c r="E898" i="8"/>
  <c r="D898" i="8"/>
  <c r="E897" i="8"/>
  <c r="D897" i="8"/>
  <c r="E896" i="8"/>
  <c r="D896" i="8"/>
  <c r="E895" i="8"/>
  <c r="D895" i="8"/>
  <c r="E894" i="8"/>
  <c r="D894" i="8"/>
  <c r="E893" i="8"/>
  <c r="D893" i="8"/>
  <c r="E892" i="8"/>
  <c r="D892" i="8"/>
  <c r="E891" i="8"/>
  <c r="D891" i="8"/>
  <c r="E890" i="8"/>
  <c r="D890" i="8"/>
  <c r="E889" i="8"/>
  <c r="D889" i="8"/>
  <c r="E888" i="8"/>
  <c r="D888" i="8"/>
  <c r="E887" i="8"/>
  <c r="D887" i="8"/>
  <c r="E886" i="8"/>
  <c r="D886" i="8"/>
  <c r="E885" i="8"/>
  <c r="D885" i="8"/>
  <c r="E884" i="8"/>
  <c r="D884" i="8"/>
  <c r="E883" i="8"/>
  <c r="D883" i="8"/>
  <c r="E882" i="8"/>
  <c r="D882" i="8"/>
  <c r="E881" i="8"/>
  <c r="D881" i="8"/>
  <c r="E880" i="8"/>
  <c r="D880" i="8"/>
  <c r="E879" i="8"/>
  <c r="D879" i="8"/>
  <c r="E878" i="8"/>
  <c r="D878" i="8"/>
  <c r="E877" i="8"/>
  <c r="D877" i="8"/>
  <c r="E876" i="8"/>
  <c r="D876" i="8"/>
  <c r="E875" i="8"/>
  <c r="D875" i="8"/>
  <c r="E874" i="8"/>
  <c r="D874" i="8"/>
  <c r="E873" i="8"/>
  <c r="D873" i="8"/>
  <c r="E872" i="8"/>
  <c r="D872" i="8"/>
  <c r="E871" i="8"/>
  <c r="D871" i="8"/>
  <c r="E870" i="8"/>
  <c r="D870" i="8"/>
  <c r="E869" i="8"/>
  <c r="D869" i="8"/>
  <c r="E868" i="8"/>
  <c r="D868" i="8"/>
  <c r="E867" i="8"/>
  <c r="D867" i="8"/>
  <c r="E866" i="8"/>
  <c r="D866" i="8"/>
  <c r="E865" i="8"/>
  <c r="D865" i="8"/>
  <c r="E864" i="8"/>
  <c r="D864" i="8"/>
  <c r="E863" i="8"/>
  <c r="D863" i="8"/>
  <c r="E862" i="8"/>
  <c r="D862" i="8"/>
  <c r="E861" i="8"/>
  <c r="D861" i="8"/>
  <c r="E860" i="8"/>
  <c r="D860" i="8"/>
  <c r="E859" i="8"/>
  <c r="D859" i="8"/>
  <c r="E858" i="8"/>
  <c r="D858" i="8"/>
  <c r="E857" i="8"/>
  <c r="D857" i="8"/>
  <c r="E856" i="8"/>
  <c r="D856" i="8"/>
  <c r="E855" i="8"/>
  <c r="D855" i="8"/>
  <c r="E854" i="8"/>
  <c r="D854" i="8"/>
  <c r="E853" i="8"/>
  <c r="D853" i="8"/>
  <c r="E852" i="8"/>
  <c r="D852" i="8"/>
  <c r="E851" i="8"/>
  <c r="D851" i="8"/>
  <c r="G850" i="8"/>
  <c r="E850" i="8"/>
  <c r="D850" i="8"/>
  <c r="G849" i="8"/>
  <c r="E849" i="8"/>
  <c r="D849" i="8"/>
  <c r="E848" i="8"/>
  <c r="D848" i="8"/>
  <c r="E847" i="8"/>
  <c r="D847" i="8"/>
  <c r="G846" i="8"/>
  <c r="E846" i="8"/>
  <c r="D846" i="8"/>
  <c r="G845" i="8"/>
  <c r="E845" i="8"/>
  <c r="D845" i="8"/>
  <c r="G844" i="8"/>
  <c r="E844" i="8"/>
  <c r="D844" i="8"/>
  <c r="G843" i="8"/>
  <c r="E843" i="8"/>
  <c r="D843" i="8"/>
  <c r="G842" i="8"/>
  <c r="E842" i="8"/>
  <c r="D842" i="8"/>
  <c r="G841" i="8"/>
  <c r="E841" i="8"/>
  <c r="D841" i="8"/>
  <c r="G840" i="8"/>
  <c r="E840" i="8"/>
  <c r="D840" i="8"/>
  <c r="G839" i="8"/>
  <c r="E839" i="8"/>
  <c r="D839" i="8"/>
  <c r="G838" i="8"/>
  <c r="F838" i="8" s="1"/>
  <c r="G837" i="8"/>
  <c r="F837" i="8" s="1"/>
  <c r="D837" i="8" s="1"/>
  <c r="G836" i="8"/>
  <c r="F836" i="8" s="1"/>
  <c r="E836" i="8" s="1"/>
  <c r="G835" i="8"/>
  <c r="F835" i="8" s="1"/>
  <c r="G833" i="8"/>
  <c r="F833" i="8" s="1"/>
  <c r="E833" i="8" s="1"/>
  <c r="G832" i="8"/>
  <c r="F832" i="8" s="1"/>
  <c r="D832" i="8" s="1"/>
  <c r="G831" i="8"/>
  <c r="F831" i="8" s="1"/>
  <c r="D831" i="8" s="1"/>
  <c r="G829" i="8"/>
  <c r="F829" i="8" s="1"/>
  <c r="E829" i="8" s="1"/>
  <c r="G828" i="8"/>
  <c r="F828" i="8" s="1"/>
  <c r="E828" i="8" s="1"/>
  <c r="G827" i="8"/>
  <c r="F827" i="8" s="1"/>
  <c r="G826" i="8"/>
  <c r="F826" i="8" s="1"/>
  <c r="D826" i="8" s="1"/>
  <c r="G825" i="8"/>
  <c r="F825" i="8" s="1"/>
  <c r="E825" i="8" s="1"/>
  <c r="G824" i="8"/>
  <c r="F824" i="8" s="1"/>
  <c r="D824" i="8" s="1"/>
  <c r="G823" i="8"/>
  <c r="F823" i="8" s="1"/>
  <c r="E823" i="8" s="1"/>
  <c r="G822" i="8"/>
  <c r="F822" i="8" s="1"/>
  <c r="E822" i="8" s="1"/>
  <c r="G821" i="8"/>
  <c r="F821" i="8" s="1"/>
  <c r="E821" i="8" s="1"/>
  <c r="G819" i="8"/>
  <c r="F819" i="8" s="1"/>
  <c r="E819" i="8" s="1"/>
  <c r="G818" i="8"/>
  <c r="F818" i="8" s="1"/>
  <c r="D818" i="8" s="1"/>
  <c r="E817" i="8"/>
  <c r="D817" i="8"/>
  <c r="E816" i="8"/>
  <c r="D816" i="8"/>
  <c r="E815" i="8"/>
  <c r="D815" i="8"/>
  <c r="E814" i="8"/>
  <c r="D814" i="8"/>
  <c r="E813" i="8"/>
  <c r="D813" i="8"/>
  <c r="E812" i="8"/>
  <c r="D812" i="8"/>
  <c r="E811" i="8"/>
  <c r="D811" i="8"/>
  <c r="E810" i="8"/>
  <c r="D810" i="8"/>
  <c r="E809" i="8"/>
  <c r="D809" i="8"/>
  <c r="E808" i="8"/>
  <c r="D808" i="8"/>
  <c r="E807" i="8"/>
  <c r="D807" i="8"/>
  <c r="E806" i="8"/>
  <c r="D806" i="8"/>
  <c r="E805" i="8"/>
  <c r="D805" i="8"/>
  <c r="E804" i="8"/>
  <c r="D804" i="8"/>
  <c r="E803" i="8"/>
  <c r="D803" i="8"/>
  <c r="E802" i="8"/>
  <c r="D802" i="8"/>
  <c r="E801" i="8"/>
  <c r="D801" i="8"/>
  <c r="E800" i="8"/>
  <c r="D800" i="8"/>
  <c r="E799" i="8"/>
  <c r="D799" i="8"/>
  <c r="E798" i="8"/>
  <c r="D798" i="8"/>
  <c r="E797" i="8"/>
  <c r="D797" i="8"/>
  <c r="E796" i="8"/>
  <c r="D796" i="8"/>
  <c r="E795" i="8"/>
  <c r="D795" i="8"/>
  <c r="E794" i="8"/>
  <c r="D794" i="8"/>
  <c r="E793" i="8"/>
  <c r="D793" i="8"/>
  <c r="E792" i="8"/>
  <c r="D792" i="8"/>
  <c r="E791" i="8"/>
  <c r="D791" i="8"/>
  <c r="E790" i="8"/>
  <c r="D790" i="8"/>
  <c r="E789" i="8"/>
  <c r="D789" i="8"/>
  <c r="E788" i="8"/>
  <c r="D788" i="8"/>
  <c r="E787" i="8"/>
  <c r="D787" i="8"/>
  <c r="E786" i="8"/>
  <c r="D786" i="8"/>
  <c r="E785" i="8"/>
  <c r="D785" i="8"/>
  <c r="E784" i="8"/>
  <c r="D784" i="8"/>
  <c r="E783" i="8"/>
  <c r="D783" i="8"/>
  <c r="E782" i="8"/>
  <c r="D782" i="8"/>
  <c r="E781" i="8"/>
  <c r="D781" i="8"/>
  <c r="E780" i="8"/>
  <c r="D780" i="8"/>
  <c r="E779" i="8"/>
  <c r="D779" i="8"/>
  <c r="E778" i="8"/>
  <c r="D778" i="8"/>
  <c r="E777" i="8"/>
  <c r="D777" i="8"/>
  <c r="E776" i="8"/>
  <c r="D776" i="8"/>
  <c r="E775" i="8"/>
  <c r="D775" i="8"/>
  <c r="E774" i="8"/>
  <c r="D774" i="8"/>
  <c r="E773" i="8"/>
  <c r="D773" i="8"/>
  <c r="E772" i="8"/>
  <c r="D772" i="8"/>
  <c r="E771" i="8"/>
  <c r="D771" i="8"/>
  <c r="E770" i="8"/>
  <c r="D770" i="8"/>
  <c r="E769" i="8"/>
  <c r="D769" i="8"/>
  <c r="E768" i="8"/>
  <c r="D768" i="8"/>
  <c r="E767" i="8"/>
  <c r="D767" i="8"/>
  <c r="E766" i="8"/>
  <c r="D766" i="8"/>
  <c r="E765" i="8"/>
  <c r="D765" i="8"/>
  <c r="E764" i="8"/>
  <c r="D764" i="8"/>
  <c r="E763" i="8"/>
  <c r="D763" i="8"/>
  <c r="E762" i="8"/>
  <c r="D762" i="8"/>
  <c r="E761" i="8"/>
  <c r="D761" i="8"/>
  <c r="E760" i="8"/>
  <c r="D760" i="8"/>
  <c r="A760" i="8"/>
  <c r="E759" i="8"/>
  <c r="D759" i="8"/>
  <c r="E758" i="8"/>
  <c r="D758" i="8"/>
  <c r="E757" i="8"/>
  <c r="D757" i="8"/>
  <c r="E756" i="8"/>
  <c r="D756" i="8"/>
  <c r="E755" i="8"/>
  <c r="D755" i="8"/>
  <c r="E754" i="8"/>
  <c r="D754" i="8"/>
  <c r="E753" i="8"/>
  <c r="D753" i="8"/>
  <c r="E752" i="8"/>
  <c r="D752" i="8"/>
  <c r="E751" i="8"/>
  <c r="D751" i="8"/>
  <c r="E750" i="8"/>
  <c r="D750" i="8"/>
  <c r="E749" i="8"/>
  <c r="D749" i="8"/>
  <c r="E748" i="8"/>
  <c r="D748" i="8"/>
  <c r="G747" i="8"/>
  <c r="E747" i="8"/>
  <c r="D747" i="8"/>
  <c r="E746" i="8"/>
  <c r="D746" i="8"/>
  <c r="E745" i="8"/>
  <c r="D745" i="8"/>
  <c r="E744" i="8"/>
  <c r="D744" i="8"/>
  <c r="E743" i="8"/>
  <c r="D743" i="8"/>
  <c r="E742" i="8"/>
  <c r="D742" i="8"/>
  <c r="G741" i="8"/>
  <c r="E741" i="8"/>
  <c r="D741" i="8"/>
  <c r="E740" i="8"/>
  <c r="D740" i="8"/>
  <c r="E739" i="8"/>
  <c r="D739" i="8"/>
  <c r="E738" i="8"/>
  <c r="D738" i="8"/>
  <c r="E737" i="8"/>
  <c r="D737" i="8"/>
  <c r="E736" i="8"/>
  <c r="D736" i="8"/>
  <c r="A736" i="8"/>
  <c r="E735" i="8"/>
  <c r="D735" i="8"/>
  <c r="E734" i="8"/>
  <c r="D734" i="8"/>
  <c r="A734" i="8"/>
  <c r="E733" i="8"/>
  <c r="D733" i="8"/>
  <c r="E732" i="8"/>
  <c r="D732" i="8"/>
  <c r="E731" i="8"/>
  <c r="D731" i="8"/>
  <c r="E730" i="8"/>
  <c r="D730" i="8"/>
  <c r="E729" i="8"/>
  <c r="D729" i="8"/>
  <c r="E728" i="8"/>
  <c r="D728" i="8"/>
  <c r="E727" i="8"/>
  <c r="D727" i="8"/>
  <c r="E726" i="8"/>
  <c r="D726" i="8"/>
  <c r="E725" i="8"/>
  <c r="D725" i="8"/>
  <c r="E724" i="8"/>
  <c r="D724" i="8"/>
  <c r="E723" i="8"/>
  <c r="D723" i="8"/>
  <c r="E722" i="8"/>
  <c r="D722" i="8"/>
  <c r="E721" i="8"/>
  <c r="D721" i="8"/>
  <c r="E720" i="8"/>
  <c r="D720" i="8"/>
  <c r="E719" i="8"/>
  <c r="D719" i="8"/>
  <c r="E718" i="8"/>
  <c r="D718" i="8"/>
  <c r="E717" i="8"/>
  <c r="D717" i="8"/>
  <c r="E716" i="8"/>
  <c r="D716" i="8"/>
  <c r="E715" i="8"/>
  <c r="D715" i="8"/>
  <c r="E714" i="8"/>
  <c r="D714" i="8"/>
  <c r="E713" i="8"/>
  <c r="D713" i="8"/>
  <c r="E712" i="8"/>
  <c r="D712" i="8"/>
  <c r="E711" i="8"/>
  <c r="D711" i="8"/>
  <c r="E710" i="8"/>
  <c r="D710" i="8"/>
  <c r="E709" i="8"/>
  <c r="D709" i="8"/>
  <c r="E708" i="8"/>
  <c r="D708" i="8"/>
  <c r="E707" i="8"/>
  <c r="D707" i="8"/>
  <c r="E706" i="8"/>
  <c r="D706" i="8"/>
  <c r="E705" i="8"/>
  <c r="D705" i="8"/>
  <c r="E704" i="8"/>
  <c r="D704" i="8"/>
  <c r="E703" i="8"/>
  <c r="D703" i="8"/>
  <c r="E702" i="8"/>
  <c r="D702" i="8"/>
  <c r="E701" i="8"/>
  <c r="D701" i="8"/>
  <c r="E700" i="8"/>
  <c r="D700" i="8"/>
  <c r="E699" i="8"/>
  <c r="D699" i="8"/>
  <c r="E698" i="8"/>
  <c r="D698" i="8"/>
  <c r="E697" i="8"/>
  <c r="D697" i="8"/>
  <c r="E696" i="8"/>
  <c r="D696" i="8"/>
  <c r="E695" i="8"/>
  <c r="D695" i="8"/>
  <c r="E694" i="8"/>
  <c r="D694" i="8"/>
  <c r="E693" i="8"/>
  <c r="D693" i="8"/>
  <c r="E692" i="8"/>
  <c r="D692" i="8"/>
  <c r="E691" i="8"/>
  <c r="D691" i="8"/>
  <c r="E690" i="8"/>
  <c r="D690" i="8"/>
  <c r="E689" i="8"/>
  <c r="D689" i="8"/>
  <c r="E688" i="8"/>
  <c r="D688" i="8"/>
  <c r="E687" i="8"/>
  <c r="D687" i="8"/>
  <c r="E686" i="8"/>
  <c r="D686" i="8"/>
  <c r="E685" i="8"/>
  <c r="D685" i="8"/>
  <c r="E684" i="8"/>
  <c r="D684" i="8"/>
  <c r="E683" i="8"/>
  <c r="D683" i="8"/>
  <c r="E682" i="8"/>
  <c r="D682" i="8"/>
  <c r="E681" i="8"/>
  <c r="D681" i="8"/>
  <c r="E680" i="8"/>
  <c r="D680" i="8"/>
  <c r="E679" i="8"/>
  <c r="D679" i="8"/>
  <c r="E678" i="8"/>
  <c r="D678" i="8"/>
  <c r="E677" i="8"/>
  <c r="D677" i="8"/>
  <c r="E676" i="8"/>
  <c r="D676" i="8"/>
  <c r="E675" i="8"/>
  <c r="D675" i="8"/>
  <c r="E674" i="8"/>
  <c r="D674" i="8"/>
  <c r="E673" i="8"/>
  <c r="D673" i="8"/>
  <c r="E672" i="8"/>
  <c r="D672" i="8"/>
  <c r="E671" i="8"/>
  <c r="D671" i="8"/>
  <c r="E670" i="8"/>
  <c r="D670" i="8"/>
  <c r="E669" i="8"/>
  <c r="D669" i="8"/>
  <c r="E668" i="8"/>
  <c r="D668" i="8"/>
  <c r="E667" i="8"/>
  <c r="D667" i="8"/>
  <c r="E666" i="8"/>
  <c r="D666" i="8"/>
  <c r="E665" i="8"/>
  <c r="D665" i="8"/>
  <c r="E664" i="8"/>
  <c r="D664" i="8"/>
  <c r="E663" i="8"/>
  <c r="D663" i="8"/>
  <c r="E662" i="8"/>
  <c r="D662" i="8"/>
  <c r="E661" i="8"/>
  <c r="D661" i="8"/>
  <c r="E660" i="8"/>
  <c r="D660" i="8"/>
  <c r="E659" i="8"/>
  <c r="D659" i="8"/>
  <c r="E658" i="8"/>
  <c r="D658" i="8"/>
  <c r="E657" i="8"/>
  <c r="D657" i="8"/>
  <c r="E656" i="8"/>
  <c r="D656" i="8"/>
  <c r="E655" i="8"/>
  <c r="D655" i="8"/>
  <c r="E654" i="8"/>
  <c r="D654" i="8"/>
  <c r="E653" i="8"/>
  <c r="D653" i="8"/>
  <c r="E652" i="8"/>
  <c r="D652" i="8"/>
  <c r="E651" i="8"/>
  <c r="D651" i="8"/>
  <c r="E650" i="8"/>
  <c r="D650" i="8"/>
  <c r="E649" i="8"/>
  <c r="D649" i="8"/>
  <c r="E648" i="8"/>
  <c r="D648" i="8"/>
  <c r="E647" i="8"/>
  <c r="D647" i="8"/>
  <c r="E646" i="8"/>
  <c r="D646" i="8"/>
  <c r="E645" i="8"/>
  <c r="D645" i="8"/>
  <c r="E644" i="8"/>
  <c r="D644" i="8"/>
  <c r="E643" i="8"/>
  <c r="D643" i="8"/>
  <c r="E642" i="8"/>
  <c r="D642" i="8"/>
  <c r="E641" i="8"/>
  <c r="D641" i="8"/>
  <c r="E640" i="8"/>
  <c r="D640" i="8"/>
  <c r="E639" i="8"/>
  <c r="D639" i="8"/>
  <c r="E638" i="8"/>
  <c r="D638" i="8"/>
  <c r="E637" i="8"/>
  <c r="D637" i="8"/>
  <c r="E636" i="8"/>
  <c r="D636" i="8"/>
  <c r="E635" i="8"/>
  <c r="D635" i="8"/>
  <c r="E634" i="8"/>
  <c r="D634" i="8"/>
  <c r="E633" i="8"/>
  <c r="D633" i="8"/>
  <c r="E632" i="8"/>
  <c r="D632" i="8"/>
  <c r="E631" i="8"/>
  <c r="D631" i="8"/>
  <c r="E630" i="8"/>
  <c r="D630" i="8"/>
  <c r="E629" i="8"/>
  <c r="D629" i="8"/>
  <c r="E628" i="8"/>
  <c r="D628" i="8"/>
  <c r="E627" i="8"/>
  <c r="D627" i="8"/>
  <c r="E626" i="8"/>
  <c r="D626" i="8"/>
  <c r="E625" i="8"/>
  <c r="D625" i="8"/>
  <c r="E624" i="8"/>
  <c r="D624" i="8"/>
  <c r="E623" i="8"/>
  <c r="D623" i="8"/>
  <c r="E622" i="8"/>
  <c r="D622" i="8"/>
  <c r="E621" i="8"/>
  <c r="D621" i="8"/>
  <c r="E620" i="8"/>
  <c r="D620" i="8"/>
  <c r="E619" i="8"/>
  <c r="D619" i="8"/>
  <c r="E618" i="8"/>
  <c r="D618" i="8"/>
  <c r="E617" i="8"/>
  <c r="D617" i="8"/>
  <c r="E616" i="8"/>
  <c r="D616" i="8"/>
  <c r="E615" i="8"/>
  <c r="D615" i="8"/>
  <c r="E614" i="8"/>
  <c r="D614" i="8"/>
  <c r="E613" i="8"/>
  <c r="D613" i="8"/>
  <c r="E612" i="8"/>
  <c r="D612" i="8"/>
  <c r="E611" i="8"/>
  <c r="D611" i="8"/>
  <c r="E610" i="8"/>
  <c r="D610" i="8"/>
  <c r="E609" i="8"/>
  <c r="D609" i="8"/>
  <c r="E608" i="8"/>
  <c r="D608" i="8"/>
  <c r="E607" i="8"/>
  <c r="D607" i="8"/>
  <c r="E606" i="8"/>
  <c r="D606" i="8"/>
  <c r="E605" i="8"/>
  <c r="D605" i="8"/>
  <c r="E604" i="8"/>
  <c r="D604" i="8"/>
  <c r="E603" i="8"/>
  <c r="D603" i="8"/>
  <c r="E602" i="8"/>
  <c r="D602" i="8"/>
  <c r="E601" i="8"/>
  <c r="D601" i="8"/>
  <c r="E600" i="8"/>
  <c r="D600" i="8"/>
  <c r="E599" i="8"/>
  <c r="D599" i="8"/>
  <c r="E598" i="8"/>
  <c r="D598" i="8"/>
  <c r="E597" i="8"/>
  <c r="D597" i="8"/>
  <c r="E596" i="8"/>
  <c r="D596" i="8"/>
  <c r="E595" i="8"/>
  <c r="D595" i="8"/>
  <c r="E594" i="8"/>
  <c r="D594" i="8"/>
  <c r="E593" i="8"/>
  <c r="D593" i="8"/>
  <c r="E592" i="8"/>
  <c r="D592" i="8"/>
  <c r="E591" i="8"/>
  <c r="D591" i="8"/>
  <c r="E590" i="8"/>
  <c r="D590" i="8"/>
  <c r="E589" i="8"/>
  <c r="D589" i="8"/>
  <c r="E588" i="8"/>
  <c r="D588" i="8"/>
  <c r="E587" i="8"/>
  <c r="D587" i="8"/>
  <c r="E586" i="8"/>
  <c r="D586" i="8"/>
  <c r="E585" i="8"/>
  <c r="D585" i="8"/>
  <c r="E584" i="8"/>
  <c r="D584" i="8"/>
  <c r="E583" i="8"/>
  <c r="D583" i="8"/>
  <c r="E582" i="8"/>
  <c r="D582" i="8"/>
  <c r="E581" i="8"/>
  <c r="D581" i="8"/>
  <c r="E580" i="8"/>
  <c r="D580" i="8"/>
  <c r="E579" i="8"/>
  <c r="D579" i="8"/>
  <c r="E578" i="8"/>
  <c r="D578" i="8"/>
  <c r="E577" i="8"/>
  <c r="D577" i="8"/>
  <c r="E576" i="8"/>
  <c r="D576" i="8"/>
  <c r="E575" i="8"/>
  <c r="D575" i="8"/>
  <c r="E574" i="8"/>
  <c r="D574" i="8"/>
  <c r="E573" i="8"/>
  <c r="D573" i="8"/>
  <c r="E572" i="8"/>
  <c r="D572" i="8"/>
  <c r="E571" i="8"/>
  <c r="D571" i="8"/>
  <c r="E570" i="8"/>
  <c r="D570" i="8"/>
  <c r="E569" i="8"/>
  <c r="D569" i="8"/>
  <c r="E568" i="8"/>
  <c r="D568" i="8"/>
  <c r="E567" i="8"/>
  <c r="D567" i="8"/>
  <c r="E566" i="8"/>
  <c r="D566" i="8"/>
  <c r="E565" i="8"/>
  <c r="D565" i="8"/>
  <c r="E564" i="8"/>
  <c r="D564" i="8"/>
  <c r="E563" i="8"/>
  <c r="D563" i="8"/>
  <c r="E562" i="8"/>
  <c r="D562" i="8"/>
  <c r="E561" i="8"/>
  <c r="D561" i="8"/>
  <c r="E560" i="8"/>
  <c r="D560" i="8"/>
  <c r="E559" i="8"/>
  <c r="D559" i="8"/>
  <c r="E558" i="8"/>
  <c r="D558" i="8"/>
  <c r="E557" i="8"/>
  <c r="D557" i="8"/>
  <c r="E556" i="8"/>
  <c r="D556" i="8"/>
  <c r="E555" i="8"/>
  <c r="D555" i="8"/>
  <c r="E554" i="8"/>
  <c r="D554" i="8"/>
  <c r="E553" i="8"/>
  <c r="D553" i="8"/>
  <c r="E552" i="8"/>
  <c r="D552" i="8"/>
  <c r="E551" i="8"/>
  <c r="D551" i="8"/>
  <c r="E550" i="8"/>
  <c r="D550" i="8"/>
  <c r="E549" i="8"/>
  <c r="D549" i="8"/>
  <c r="E548" i="8"/>
  <c r="D548" i="8"/>
  <c r="E547" i="8"/>
  <c r="D547" i="8"/>
  <c r="E546" i="8"/>
  <c r="D546" i="8"/>
  <c r="E545" i="8"/>
  <c r="D545" i="8"/>
  <c r="E544" i="8"/>
  <c r="D544" i="8"/>
  <c r="E543" i="8"/>
  <c r="D543" i="8"/>
  <c r="E542" i="8"/>
  <c r="D542" i="8"/>
  <c r="E541" i="8"/>
  <c r="D541" i="8"/>
  <c r="E540" i="8"/>
  <c r="D540" i="8"/>
  <c r="E539" i="8"/>
  <c r="D539" i="8"/>
  <c r="E538" i="8"/>
  <c r="D538" i="8"/>
  <c r="E537" i="8"/>
  <c r="D537" i="8"/>
  <c r="E536" i="8"/>
  <c r="D536" i="8"/>
  <c r="E535" i="8"/>
  <c r="D535" i="8"/>
  <c r="E534" i="8"/>
  <c r="D534" i="8"/>
  <c r="E533" i="8"/>
  <c r="D533" i="8"/>
  <c r="E532" i="8"/>
  <c r="D532" i="8"/>
  <c r="E531" i="8"/>
  <c r="D531" i="8"/>
  <c r="E530" i="8"/>
  <c r="D530" i="8"/>
  <c r="E529" i="8"/>
  <c r="D529" i="8"/>
  <c r="E528" i="8"/>
  <c r="D528" i="8"/>
  <c r="E527" i="8"/>
  <c r="D527" i="8"/>
  <c r="E526" i="8"/>
  <c r="D526" i="8"/>
  <c r="E525" i="8"/>
  <c r="D525" i="8"/>
  <c r="E524" i="8"/>
  <c r="D524" i="8"/>
  <c r="E523" i="8"/>
  <c r="D523" i="8"/>
  <c r="E522" i="8"/>
  <c r="D522" i="8"/>
  <c r="E521" i="8"/>
  <c r="D521" i="8"/>
  <c r="E520" i="8"/>
  <c r="D520" i="8"/>
  <c r="E519" i="8"/>
  <c r="D519" i="8"/>
  <c r="E518" i="8"/>
  <c r="D518" i="8"/>
  <c r="E517" i="8"/>
  <c r="D517" i="8"/>
  <c r="E516" i="8"/>
  <c r="D516" i="8"/>
  <c r="E515" i="8"/>
  <c r="D515" i="8"/>
  <c r="E514" i="8"/>
  <c r="D514" i="8"/>
  <c r="E513" i="8"/>
  <c r="D513" i="8"/>
  <c r="E512" i="8"/>
  <c r="D512" i="8"/>
  <c r="E511" i="8"/>
  <c r="D511" i="8"/>
  <c r="E510" i="8"/>
  <c r="D510" i="8"/>
  <c r="E509" i="8"/>
  <c r="D509" i="8"/>
  <c r="E508" i="8"/>
  <c r="D508" i="8"/>
  <c r="E507" i="8"/>
  <c r="D507" i="8"/>
  <c r="E506" i="8"/>
  <c r="D506" i="8"/>
  <c r="E505" i="8"/>
  <c r="D505" i="8"/>
  <c r="E504" i="8"/>
  <c r="D504" i="8"/>
  <c r="E503" i="8"/>
  <c r="D503" i="8"/>
  <c r="E502" i="8"/>
  <c r="D502" i="8"/>
  <c r="E501" i="8"/>
  <c r="D501" i="8"/>
  <c r="E500" i="8"/>
  <c r="D500" i="8"/>
  <c r="E499" i="8"/>
  <c r="D499" i="8"/>
  <c r="E498" i="8"/>
  <c r="D498" i="8"/>
  <c r="E497" i="8"/>
  <c r="D497" i="8"/>
  <c r="E496" i="8"/>
  <c r="D496" i="8"/>
  <c r="E495" i="8"/>
  <c r="D495" i="8"/>
  <c r="E494" i="8"/>
  <c r="D494" i="8"/>
  <c r="E493" i="8"/>
  <c r="D493" i="8"/>
  <c r="E492" i="8"/>
  <c r="D492" i="8"/>
  <c r="E491" i="8"/>
  <c r="D491" i="8"/>
  <c r="E490" i="8"/>
  <c r="D490" i="8"/>
  <c r="E489" i="8"/>
  <c r="D489" i="8"/>
  <c r="E488" i="8"/>
  <c r="D488" i="8"/>
  <c r="E487" i="8"/>
  <c r="D487" i="8"/>
  <c r="E486" i="8"/>
  <c r="D486" i="8"/>
  <c r="E485" i="8"/>
  <c r="D485" i="8"/>
  <c r="E484" i="8"/>
  <c r="D484" i="8"/>
  <c r="E483" i="8"/>
  <c r="D483" i="8"/>
  <c r="E482" i="8"/>
  <c r="D482" i="8"/>
  <c r="E481" i="8"/>
  <c r="D481" i="8"/>
  <c r="E480" i="8"/>
  <c r="D480" i="8"/>
  <c r="E479" i="8"/>
  <c r="D479" i="8"/>
  <c r="E478" i="8"/>
  <c r="D478" i="8"/>
  <c r="E477" i="8"/>
  <c r="D477" i="8"/>
  <c r="E476" i="8"/>
  <c r="D476" i="8"/>
  <c r="E475" i="8"/>
  <c r="D475" i="8"/>
  <c r="E474" i="8"/>
  <c r="D474" i="8"/>
  <c r="E473" i="8"/>
  <c r="D473" i="8"/>
  <c r="E472" i="8"/>
  <c r="D472" i="8"/>
  <c r="E471" i="8"/>
  <c r="D471" i="8"/>
  <c r="E470" i="8"/>
  <c r="D470" i="8"/>
  <c r="E469" i="8"/>
  <c r="D469" i="8"/>
  <c r="E468" i="8"/>
  <c r="D468" i="8"/>
  <c r="E467" i="8"/>
  <c r="D467" i="8"/>
  <c r="E466" i="8"/>
  <c r="D466" i="8"/>
  <c r="E465" i="8"/>
  <c r="D465" i="8"/>
  <c r="E464" i="8"/>
  <c r="D464" i="8"/>
  <c r="E463" i="8"/>
  <c r="D463" i="8"/>
  <c r="E462" i="8"/>
  <c r="D462" i="8"/>
  <c r="E461" i="8"/>
  <c r="D461" i="8"/>
  <c r="E460" i="8"/>
  <c r="D460" i="8"/>
  <c r="E459" i="8"/>
  <c r="D459" i="8"/>
  <c r="E458" i="8"/>
  <c r="D458" i="8"/>
  <c r="E457" i="8"/>
  <c r="D457" i="8"/>
  <c r="E456" i="8"/>
  <c r="D456" i="8"/>
  <c r="E455" i="8"/>
  <c r="D455" i="8"/>
  <c r="E454" i="8"/>
  <c r="D454" i="8"/>
  <c r="E453" i="8"/>
  <c r="D453" i="8"/>
  <c r="E452" i="8"/>
  <c r="D452" i="8"/>
  <c r="E451" i="8"/>
  <c r="D451" i="8"/>
  <c r="E450" i="8"/>
  <c r="D450" i="8"/>
  <c r="E449" i="8"/>
  <c r="D449" i="8"/>
  <c r="E448" i="8"/>
  <c r="D448" i="8"/>
  <c r="E447" i="8"/>
  <c r="D447" i="8"/>
  <c r="E446" i="8"/>
  <c r="D446" i="8"/>
  <c r="E445" i="8"/>
  <c r="D445" i="8"/>
  <c r="E444" i="8"/>
  <c r="D444" i="8"/>
  <c r="E443" i="8"/>
  <c r="D443" i="8"/>
  <c r="E442" i="8"/>
  <c r="D442" i="8"/>
  <c r="E441" i="8"/>
  <c r="D441" i="8"/>
  <c r="E440" i="8"/>
  <c r="D440" i="8"/>
  <c r="E439" i="8"/>
  <c r="D439" i="8"/>
  <c r="E438" i="8"/>
  <c r="D438" i="8"/>
  <c r="E437" i="8"/>
  <c r="D437" i="8"/>
  <c r="E436" i="8"/>
  <c r="D436" i="8"/>
  <c r="E435" i="8"/>
  <c r="D435" i="8"/>
  <c r="E434" i="8"/>
  <c r="D434" i="8"/>
  <c r="E433" i="8"/>
  <c r="D433" i="8"/>
  <c r="E432" i="8"/>
  <c r="D432" i="8"/>
  <c r="E431" i="8"/>
  <c r="D431" i="8"/>
  <c r="E430" i="8"/>
  <c r="D430" i="8"/>
  <c r="E429" i="8"/>
  <c r="D429" i="8"/>
  <c r="E428" i="8"/>
  <c r="D428" i="8"/>
  <c r="E427" i="8"/>
  <c r="D427" i="8"/>
  <c r="E426" i="8"/>
  <c r="D426" i="8"/>
  <c r="E425" i="8"/>
  <c r="D425" i="8"/>
  <c r="E424" i="8"/>
  <c r="D424" i="8"/>
  <c r="E423" i="8"/>
  <c r="D423" i="8"/>
  <c r="E422" i="8"/>
  <c r="D422" i="8"/>
  <c r="E421" i="8"/>
  <c r="D421" i="8"/>
  <c r="E420" i="8"/>
  <c r="D420" i="8"/>
  <c r="E419" i="8"/>
  <c r="D419" i="8"/>
  <c r="E418" i="8"/>
  <c r="D418" i="8"/>
  <c r="E417" i="8"/>
  <c r="D417" i="8"/>
  <c r="E416" i="8"/>
  <c r="D416" i="8"/>
  <c r="E415" i="8"/>
  <c r="D415" i="8"/>
  <c r="E414" i="8"/>
  <c r="D414" i="8"/>
  <c r="E413" i="8"/>
  <c r="D413" i="8"/>
  <c r="E412" i="8"/>
  <c r="D412" i="8"/>
  <c r="E411" i="8"/>
  <c r="D411" i="8"/>
  <c r="E410" i="8"/>
  <c r="D410" i="8"/>
  <c r="E409" i="8"/>
  <c r="D409" i="8"/>
  <c r="E408" i="8"/>
  <c r="D408" i="8"/>
  <c r="E407" i="8"/>
  <c r="D407" i="8"/>
  <c r="E406" i="8"/>
  <c r="D406" i="8"/>
  <c r="E405" i="8"/>
  <c r="D405" i="8"/>
  <c r="E404" i="8"/>
  <c r="D404" i="8"/>
  <c r="E403" i="8"/>
  <c r="D403" i="8"/>
  <c r="E402" i="8"/>
  <c r="D402" i="8"/>
  <c r="E401" i="8"/>
  <c r="D401" i="8"/>
  <c r="E400" i="8"/>
  <c r="D400" i="8"/>
  <c r="E399" i="8"/>
  <c r="D399" i="8"/>
  <c r="E398" i="8"/>
  <c r="D398" i="8"/>
  <c r="E397" i="8"/>
  <c r="D397" i="8"/>
  <c r="E396" i="8"/>
  <c r="D396" i="8"/>
  <c r="E395" i="8"/>
  <c r="D395" i="8"/>
  <c r="E394" i="8"/>
  <c r="D394" i="8"/>
  <c r="E393" i="8"/>
  <c r="D393" i="8"/>
  <c r="E392" i="8"/>
  <c r="D392" i="8"/>
  <c r="E391" i="8"/>
  <c r="D391" i="8"/>
  <c r="E390" i="8"/>
  <c r="D390" i="8"/>
  <c r="E389" i="8"/>
  <c r="D389" i="8"/>
  <c r="E388" i="8"/>
  <c r="D388" i="8"/>
  <c r="E387" i="8"/>
  <c r="D387" i="8"/>
  <c r="E386" i="8"/>
  <c r="D386" i="8"/>
  <c r="E385" i="8"/>
  <c r="D385" i="8"/>
  <c r="E384" i="8"/>
  <c r="D384" i="8"/>
  <c r="E383" i="8"/>
  <c r="D383" i="8"/>
  <c r="E382" i="8"/>
  <c r="D382" i="8"/>
  <c r="E381" i="8"/>
  <c r="D381" i="8"/>
  <c r="E380" i="8"/>
  <c r="D380" i="8"/>
  <c r="E379" i="8"/>
  <c r="D379" i="8"/>
  <c r="E378" i="8"/>
  <c r="D378" i="8"/>
  <c r="E377" i="8"/>
  <c r="D377" i="8"/>
  <c r="E376" i="8"/>
  <c r="D376" i="8"/>
  <c r="E375" i="8"/>
  <c r="D375" i="8"/>
  <c r="E374" i="8"/>
  <c r="D374" i="8"/>
  <c r="E373" i="8"/>
  <c r="D373" i="8"/>
  <c r="E372" i="8"/>
  <c r="D372" i="8"/>
  <c r="E371" i="8"/>
  <c r="D371" i="8"/>
  <c r="E370" i="8"/>
  <c r="D370" i="8"/>
  <c r="E369" i="8"/>
  <c r="D369" i="8"/>
  <c r="E368" i="8"/>
  <c r="D368" i="8"/>
  <c r="E367" i="8"/>
  <c r="D367" i="8"/>
  <c r="E366" i="8"/>
  <c r="D366" i="8"/>
  <c r="E365" i="8"/>
  <c r="D365" i="8"/>
  <c r="E364" i="8"/>
  <c r="D364" i="8"/>
  <c r="E363" i="8"/>
  <c r="D363" i="8"/>
  <c r="E362" i="8"/>
  <c r="D362" i="8"/>
  <c r="E361" i="8"/>
  <c r="D361" i="8"/>
  <c r="E360" i="8"/>
  <c r="D360" i="8"/>
  <c r="E359" i="8"/>
  <c r="D359" i="8"/>
  <c r="E358" i="8"/>
  <c r="D358" i="8"/>
  <c r="E357" i="8"/>
  <c r="D357" i="8"/>
  <c r="E356" i="8"/>
  <c r="D356" i="8"/>
  <c r="E355" i="8"/>
  <c r="D355" i="8"/>
  <c r="E354" i="8"/>
  <c r="D354" i="8"/>
  <c r="E353" i="8"/>
  <c r="D353" i="8"/>
  <c r="E352" i="8"/>
  <c r="D352" i="8"/>
  <c r="E351" i="8"/>
  <c r="D351" i="8"/>
  <c r="E350" i="8"/>
  <c r="D350" i="8"/>
  <c r="E349" i="8"/>
  <c r="D349" i="8"/>
  <c r="E348" i="8"/>
  <c r="D348" i="8"/>
  <c r="E347" i="8"/>
  <c r="D347" i="8"/>
  <c r="E346" i="8"/>
  <c r="D346" i="8"/>
  <c r="E345" i="8"/>
  <c r="D345" i="8"/>
  <c r="E344" i="8"/>
  <c r="D344" i="8"/>
  <c r="E343" i="8"/>
  <c r="D343" i="8"/>
  <c r="E342" i="8"/>
  <c r="D342" i="8"/>
  <c r="E341" i="8"/>
  <c r="D341" i="8"/>
  <c r="E340" i="8"/>
  <c r="D340" i="8"/>
  <c r="E339" i="8"/>
  <c r="D339" i="8"/>
  <c r="E338" i="8"/>
  <c r="D338" i="8"/>
  <c r="E337" i="8"/>
  <c r="D337" i="8"/>
  <c r="E336" i="8"/>
  <c r="D336" i="8"/>
  <c r="E335" i="8"/>
  <c r="D335" i="8"/>
  <c r="E334" i="8"/>
  <c r="D334" i="8"/>
  <c r="E333" i="8"/>
  <c r="D333" i="8"/>
  <c r="E332" i="8"/>
  <c r="D332" i="8"/>
  <c r="E331" i="8"/>
  <c r="D331" i="8"/>
  <c r="E330" i="8"/>
  <c r="D330" i="8"/>
  <c r="E329" i="8"/>
  <c r="D329" i="8"/>
  <c r="E328" i="8"/>
  <c r="D328" i="8"/>
  <c r="E327" i="8"/>
  <c r="D327" i="8"/>
  <c r="E326" i="8"/>
  <c r="D326" i="8"/>
  <c r="E325" i="8"/>
  <c r="D325" i="8"/>
  <c r="E324" i="8"/>
  <c r="D324" i="8"/>
  <c r="E323" i="8"/>
  <c r="D323" i="8"/>
  <c r="E322" i="8"/>
  <c r="D322" i="8"/>
  <c r="E321" i="8"/>
  <c r="D321" i="8"/>
  <c r="E320" i="8"/>
  <c r="D320" i="8"/>
  <c r="E319" i="8"/>
  <c r="D319" i="8"/>
  <c r="E318" i="8"/>
  <c r="D318" i="8"/>
  <c r="E317" i="8"/>
  <c r="D317" i="8"/>
  <c r="E316" i="8"/>
  <c r="D316" i="8"/>
  <c r="E315" i="8"/>
  <c r="D315" i="8"/>
  <c r="E314" i="8"/>
  <c r="D314" i="8"/>
  <c r="E313" i="8"/>
  <c r="D313" i="8"/>
  <c r="E312" i="8"/>
  <c r="D312" i="8"/>
  <c r="E311" i="8"/>
  <c r="D311" i="8"/>
  <c r="E310" i="8"/>
  <c r="D310" i="8"/>
  <c r="E309" i="8"/>
  <c r="D309" i="8"/>
  <c r="E308" i="8"/>
  <c r="D308" i="8"/>
  <c r="E307" i="8"/>
  <c r="D307" i="8"/>
  <c r="E306" i="8"/>
  <c r="D306" i="8"/>
  <c r="E305" i="8"/>
  <c r="D305" i="8"/>
  <c r="E304" i="8"/>
  <c r="D304" i="8"/>
  <c r="E303" i="8"/>
  <c r="D303" i="8"/>
  <c r="E302" i="8"/>
  <c r="D302" i="8"/>
  <c r="E301" i="8"/>
  <c r="D301" i="8"/>
  <c r="E300" i="8"/>
  <c r="D300" i="8"/>
  <c r="E299" i="8"/>
  <c r="D299" i="8"/>
  <c r="E298" i="8"/>
  <c r="D298" i="8"/>
  <c r="E297" i="8"/>
  <c r="D297" i="8"/>
  <c r="E296" i="8"/>
  <c r="D296" i="8"/>
  <c r="E295" i="8"/>
  <c r="D295" i="8"/>
  <c r="E294" i="8"/>
  <c r="D294" i="8"/>
  <c r="E293" i="8"/>
  <c r="D293" i="8"/>
  <c r="E292" i="8"/>
  <c r="D292" i="8"/>
  <c r="E291" i="8"/>
  <c r="D291" i="8"/>
  <c r="E290" i="8"/>
  <c r="D290" i="8"/>
  <c r="E289" i="8"/>
  <c r="D289" i="8"/>
  <c r="E288" i="8"/>
  <c r="D288" i="8"/>
  <c r="E287" i="8"/>
  <c r="D287" i="8"/>
  <c r="E286" i="8"/>
  <c r="D286" i="8"/>
  <c r="E285" i="8"/>
  <c r="D285" i="8"/>
  <c r="E284" i="8"/>
  <c r="D284" i="8"/>
  <c r="E283" i="8"/>
  <c r="D283" i="8"/>
  <c r="E282" i="8"/>
  <c r="D282" i="8"/>
  <c r="E281" i="8"/>
  <c r="D281" i="8"/>
  <c r="E280" i="8"/>
  <c r="D280" i="8"/>
  <c r="E279" i="8"/>
  <c r="D279" i="8"/>
  <c r="E278" i="8"/>
  <c r="D278" i="8"/>
  <c r="E277" i="8"/>
  <c r="D277" i="8"/>
  <c r="E276" i="8"/>
  <c r="D276" i="8"/>
  <c r="E275" i="8"/>
  <c r="D275" i="8"/>
  <c r="E274" i="8"/>
  <c r="D274" i="8"/>
  <c r="E273" i="8"/>
  <c r="D273" i="8"/>
  <c r="E272" i="8"/>
  <c r="D272" i="8"/>
  <c r="E271" i="8"/>
  <c r="D271" i="8"/>
  <c r="E270" i="8"/>
  <c r="D270" i="8"/>
  <c r="E269" i="8"/>
  <c r="D269" i="8"/>
  <c r="E268" i="8"/>
  <c r="D268" i="8"/>
  <c r="E267" i="8"/>
  <c r="D267" i="8"/>
  <c r="E266" i="8"/>
  <c r="D266" i="8"/>
  <c r="E265" i="8"/>
  <c r="D265" i="8"/>
  <c r="E264" i="8"/>
  <c r="D264" i="8"/>
  <c r="E263" i="8"/>
  <c r="D263" i="8"/>
  <c r="E262" i="8"/>
  <c r="D262" i="8"/>
  <c r="E261" i="8"/>
  <c r="D261" i="8"/>
  <c r="E260" i="8"/>
  <c r="D260" i="8"/>
  <c r="E259" i="8"/>
  <c r="D259" i="8"/>
  <c r="E258" i="8"/>
  <c r="D258" i="8"/>
  <c r="E257" i="8"/>
  <c r="D257" i="8"/>
  <c r="E256" i="8"/>
  <c r="D256" i="8"/>
  <c r="E255" i="8"/>
  <c r="D255" i="8"/>
  <c r="E254" i="8"/>
  <c r="D254" i="8"/>
  <c r="E253" i="8"/>
  <c r="D253" i="8"/>
  <c r="E252" i="8"/>
  <c r="D252" i="8"/>
  <c r="E251" i="8"/>
  <c r="D251" i="8"/>
  <c r="E250" i="8"/>
  <c r="D250" i="8"/>
  <c r="E249" i="8"/>
  <c r="D249" i="8"/>
  <c r="E248" i="8"/>
  <c r="D248" i="8"/>
  <c r="E247" i="8"/>
  <c r="D247" i="8"/>
  <c r="E246" i="8"/>
  <c r="D246" i="8"/>
  <c r="E245" i="8"/>
  <c r="D245" i="8"/>
  <c r="E244" i="8"/>
  <c r="D244" i="8"/>
  <c r="E243" i="8"/>
  <c r="D243" i="8"/>
  <c r="E242" i="8"/>
  <c r="D242" i="8"/>
  <c r="E241" i="8"/>
  <c r="D241" i="8"/>
  <c r="E240" i="8"/>
  <c r="D240" i="8"/>
  <c r="E239" i="8"/>
  <c r="D239" i="8"/>
  <c r="E238" i="8"/>
  <c r="D238" i="8"/>
  <c r="E237" i="8"/>
  <c r="D237" i="8"/>
  <c r="E236" i="8"/>
  <c r="D236" i="8"/>
  <c r="E235" i="8"/>
  <c r="D235" i="8"/>
  <c r="E234" i="8"/>
  <c r="D234" i="8"/>
  <c r="E233" i="8"/>
  <c r="D233" i="8"/>
  <c r="E232" i="8"/>
  <c r="D232" i="8"/>
  <c r="E231" i="8"/>
  <c r="D231" i="8"/>
  <c r="E230" i="8"/>
  <c r="D230" i="8"/>
  <c r="E229" i="8"/>
  <c r="D229" i="8"/>
  <c r="E228" i="8"/>
  <c r="D228" i="8"/>
  <c r="E227" i="8"/>
  <c r="D227" i="8"/>
  <c r="E226" i="8"/>
  <c r="D226" i="8"/>
  <c r="E225" i="8"/>
  <c r="D225" i="8"/>
  <c r="E224" i="8"/>
  <c r="D224" i="8"/>
  <c r="E223" i="8"/>
  <c r="D223" i="8"/>
  <c r="E222" i="8"/>
  <c r="D222" i="8"/>
  <c r="E221" i="8"/>
  <c r="D221" i="8"/>
  <c r="E220" i="8"/>
  <c r="D220" i="8"/>
  <c r="E219" i="8"/>
  <c r="D219" i="8"/>
  <c r="E218" i="8"/>
  <c r="D218" i="8"/>
  <c r="E217" i="8"/>
  <c r="D217" i="8"/>
  <c r="E216" i="8"/>
  <c r="D216" i="8"/>
  <c r="E215" i="8"/>
  <c r="D215" i="8"/>
  <c r="E214" i="8"/>
  <c r="D214" i="8"/>
  <c r="E213" i="8"/>
  <c r="D213" i="8"/>
  <c r="E212" i="8"/>
  <c r="D212" i="8"/>
  <c r="E211" i="8"/>
  <c r="D211" i="8"/>
  <c r="E210" i="8"/>
  <c r="D210" i="8"/>
  <c r="E209" i="8"/>
  <c r="D209" i="8"/>
  <c r="E208" i="8"/>
  <c r="D208" i="8"/>
  <c r="E207" i="8"/>
  <c r="D207" i="8"/>
  <c r="E206" i="8"/>
  <c r="D206" i="8"/>
  <c r="E205" i="8"/>
  <c r="D205" i="8"/>
  <c r="E204" i="8"/>
  <c r="D204" i="8"/>
  <c r="E203" i="8"/>
  <c r="D203" i="8"/>
  <c r="E202" i="8"/>
  <c r="D202" i="8"/>
  <c r="E201" i="8"/>
  <c r="D201" i="8"/>
  <c r="E200" i="8"/>
  <c r="D200" i="8"/>
  <c r="E199" i="8"/>
  <c r="D199" i="8"/>
  <c r="E198" i="8"/>
  <c r="D198" i="8"/>
  <c r="E197" i="8"/>
  <c r="D197" i="8"/>
  <c r="E196" i="8"/>
  <c r="D196" i="8"/>
  <c r="E195" i="8"/>
  <c r="D195" i="8"/>
  <c r="E194" i="8"/>
  <c r="D194" i="8"/>
  <c r="E193" i="8"/>
  <c r="D193" i="8"/>
  <c r="E192" i="8"/>
  <c r="D192" i="8"/>
  <c r="E191" i="8"/>
  <c r="D191" i="8"/>
  <c r="E190" i="8"/>
  <c r="D190" i="8"/>
  <c r="E189" i="8"/>
  <c r="D189" i="8"/>
  <c r="E188" i="8"/>
  <c r="D188" i="8"/>
  <c r="E187" i="8"/>
  <c r="D187" i="8"/>
  <c r="E186" i="8"/>
  <c r="D186" i="8"/>
  <c r="E185" i="8"/>
  <c r="D185" i="8"/>
  <c r="E184" i="8"/>
  <c r="D184" i="8"/>
  <c r="E183" i="8"/>
  <c r="D183" i="8"/>
  <c r="E182" i="8"/>
  <c r="D182" i="8"/>
  <c r="E181" i="8"/>
  <c r="D181" i="8"/>
  <c r="E180" i="8"/>
  <c r="D180" i="8"/>
  <c r="E179" i="8"/>
  <c r="D179" i="8"/>
  <c r="E178" i="8"/>
  <c r="D178" i="8"/>
  <c r="E177" i="8"/>
  <c r="D177" i="8"/>
  <c r="E176" i="8"/>
  <c r="D176" i="8"/>
  <c r="E175" i="8"/>
  <c r="D175" i="8"/>
  <c r="E174" i="8"/>
  <c r="D174" i="8"/>
  <c r="E173" i="8"/>
  <c r="D173" i="8"/>
  <c r="E172" i="8"/>
  <c r="D172" i="8"/>
  <c r="E171" i="8"/>
  <c r="D171" i="8"/>
  <c r="E170" i="8"/>
  <c r="D170" i="8"/>
  <c r="E169" i="8"/>
  <c r="D169" i="8"/>
  <c r="E168" i="8"/>
  <c r="D168" i="8"/>
  <c r="E167" i="8"/>
  <c r="D167" i="8"/>
  <c r="E166" i="8"/>
  <c r="D166" i="8"/>
  <c r="E165" i="8"/>
  <c r="D165" i="8"/>
  <c r="E164" i="8"/>
  <c r="D164" i="8"/>
  <c r="E163" i="8"/>
  <c r="D163" i="8"/>
  <c r="E162" i="8"/>
  <c r="D162" i="8"/>
  <c r="E161" i="8"/>
  <c r="D161" i="8"/>
  <c r="E160" i="8"/>
  <c r="D160" i="8"/>
  <c r="E159" i="8"/>
  <c r="D159" i="8"/>
  <c r="E158" i="8"/>
  <c r="D158" i="8"/>
  <c r="E157" i="8"/>
  <c r="D157" i="8"/>
  <c r="E156" i="8"/>
  <c r="D156" i="8"/>
  <c r="E155" i="8"/>
  <c r="D155" i="8"/>
  <c r="E154" i="8"/>
  <c r="D154" i="8"/>
  <c r="E153" i="8"/>
  <c r="D153" i="8"/>
  <c r="E152" i="8"/>
  <c r="D152" i="8"/>
  <c r="E151" i="8"/>
  <c r="D151" i="8"/>
  <c r="E150" i="8"/>
  <c r="D150" i="8"/>
  <c r="E149" i="8"/>
  <c r="D149" i="8"/>
  <c r="E148" i="8"/>
  <c r="D148" i="8"/>
  <c r="E147" i="8"/>
  <c r="D147" i="8"/>
  <c r="E146" i="8"/>
  <c r="D146" i="8"/>
  <c r="E145" i="8"/>
  <c r="D145" i="8"/>
  <c r="E144" i="8"/>
  <c r="D144" i="8"/>
  <c r="E143" i="8"/>
  <c r="D143" i="8"/>
  <c r="E142" i="8"/>
  <c r="D142" i="8"/>
  <c r="E141" i="8"/>
  <c r="D141" i="8"/>
  <c r="E140" i="8"/>
  <c r="D140" i="8"/>
  <c r="E139" i="8"/>
  <c r="D139" i="8"/>
  <c r="E138" i="8"/>
  <c r="D138" i="8"/>
  <c r="E137" i="8"/>
  <c r="D137" i="8"/>
  <c r="E136" i="8"/>
  <c r="D136" i="8"/>
  <c r="E135" i="8"/>
  <c r="D135" i="8"/>
  <c r="E134" i="8"/>
  <c r="D134" i="8"/>
  <c r="E133" i="8"/>
  <c r="D133" i="8"/>
  <c r="E132" i="8"/>
  <c r="D132" i="8"/>
  <c r="E131" i="8"/>
  <c r="D131" i="8"/>
  <c r="E130" i="8"/>
  <c r="D130" i="8"/>
  <c r="E129" i="8"/>
  <c r="D129" i="8"/>
  <c r="E128" i="8"/>
  <c r="D128" i="8"/>
  <c r="E127" i="8"/>
  <c r="D127" i="8"/>
  <c r="E126" i="8"/>
  <c r="D126" i="8"/>
  <c r="E125" i="8"/>
  <c r="D125" i="8"/>
  <c r="E124" i="8"/>
  <c r="D124" i="8"/>
  <c r="E123" i="8"/>
  <c r="D123" i="8"/>
  <c r="E122" i="8"/>
  <c r="D122" i="8"/>
  <c r="E121" i="8"/>
  <c r="D121" i="8"/>
  <c r="E120" i="8"/>
  <c r="D120" i="8"/>
  <c r="E119" i="8"/>
  <c r="D119" i="8"/>
  <c r="E118" i="8"/>
  <c r="D118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E109" i="8"/>
  <c r="D109" i="8"/>
  <c r="E108" i="8"/>
  <c r="D108" i="8"/>
  <c r="E107" i="8"/>
  <c r="D107" i="8"/>
  <c r="E106" i="8"/>
  <c r="D106" i="8"/>
  <c r="E105" i="8"/>
  <c r="D105" i="8"/>
  <c r="E104" i="8"/>
  <c r="D104" i="8"/>
  <c r="E103" i="8"/>
  <c r="D103" i="8"/>
  <c r="E102" i="8"/>
  <c r="D102" i="8"/>
  <c r="E101" i="8"/>
  <c r="D101" i="8"/>
  <c r="E100" i="8"/>
  <c r="D100" i="8"/>
  <c r="E99" i="8"/>
  <c r="D99" i="8"/>
  <c r="E98" i="8"/>
  <c r="D98" i="8"/>
  <c r="E97" i="8"/>
  <c r="D97" i="8"/>
  <c r="E96" i="8"/>
  <c r="D96" i="8"/>
  <c r="E95" i="8"/>
  <c r="D95" i="8"/>
  <c r="E94" i="8"/>
  <c r="D94" i="8"/>
  <c r="E93" i="8"/>
  <c r="D93" i="8"/>
  <c r="E92" i="8"/>
  <c r="D92" i="8"/>
  <c r="E91" i="8"/>
  <c r="D91" i="8"/>
  <c r="E90" i="8"/>
  <c r="D90" i="8"/>
  <c r="E89" i="8"/>
  <c r="D89" i="8"/>
  <c r="E88" i="8"/>
  <c r="D88" i="8"/>
  <c r="E87" i="8"/>
  <c r="D87" i="8"/>
  <c r="E86" i="8"/>
  <c r="D86" i="8"/>
  <c r="E85" i="8"/>
  <c r="D85" i="8"/>
  <c r="E84" i="8"/>
  <c r="D84" i="8"/>
  <c r="E83" i="8"/>
  <c r="D83" i="8"/>
  <c r="E82" i="8"/>
  <c r="D82" i="8"/>
  <c r="E81" i="8"/>
  <c r="D81" i="8"/>
  <c r="E80" i="8"/>
  <c r="D80" i="8"/>
  <c r="E79" i="8"/>
  <c r="D79" i="8"/>
  <c r="E78" i="8"/>
  <c r="D78" i="8"/>
  <c r="E77" i="8"/>
  <c r="D77" i="8"/>
  <c r="E76" i="8"/>
  <c r="D76" i="8"/>
  <c r="E75" i="8"/>
  <c r="D75" i="8"/>
  <c r="E74" i="8"/>
  <c r="D74" i="8"/>
  <c r="E73" i="8"/>
  <c r="D73" i="8"/>
  <c r="E72" i="8"/>
  <c r="D72" i="8"/>
  <c r="E71" i="8"/>
  <c r="D71" i="8"/>
  <c r="E70" i="8"/>
  <c r="D70" i="8"/>
  <c r="E69" i="8"/>
  <c r="D69" i="8"/>
  <c r="E68" i="8"/>
  <c r="D68" i="8"/>
  <c r="E67" i="8"/>
  <c r="D67" i="8"/>
  <c r="E66" i="8"/>
  <c r="D66" i="8"/>
  <c r="E65" i="8"/>
  <c r="D65" i="8"/>
  <c r="E64" i="8"/>
  <c r="D64" i="8"/>
  <c r="E63" i="8"/>
  <c r="D63" i="8"/>
  <c r="E62" i="8"/>
  <c r="D62" i="8"/>
  <c r="E61" i="8"/>
  <c r="D61" i="8"/>
  <c r="E60" i="8"/>
  <c r="D60" i="8"/>
  <c r="E59" i="8"/>
  <c r="D59" i="8"/>
  <c r="E58" i="8"/>
  <c r="D58" i="8"/>
  <c r="E57" i="8"/>
  <c r="D57" i="8"/>
  <c r="E56" i="8"/>
  <c r="D56" i="8"/>
  <c r="E55" i="8"/>
  <c r="D55" i="8"/>
  <c r="E54" i="8"/>
  <c r="D54" i="8"/>
  <c r="E53" i="8"/>
  <c r="D53" i="8"/>
  <c r="E52" i="8"/>
  <c r="D52" i="8"/>
  <c r="E51" i="8"/>
  <c r="D51" i="8"/>
  <c r="E50" i="8"/>
  <c r="D50" i="8"/>
  <c r="E49" i="8"/>
  <c r="D49" i="8"/>
  <c r="E48" i="8"/>
  <c r="D48" i="8"/>
  <c r="E47" i="8"/>
  <c r="D47" i="8"/>
  <c r="E46" i="8"/>
  <c r="D46" i="8"/>
  <c r="E45" i="8"/>
  <c r="D45" i="8"/>
  <c r="E44" i="8"/>
  <c r="D44" i="8"/>
  <c r="E43" i="8"/>
  <c r="D43" i="8"/>
  <c r="E42" i="8"/>
  <c r="D42" i="8"/>
  <c r="E41" i="8"/>
  <c r="D41" i="8"/>
  <c r="E40" i="8"/>
  <c r="D40" i="8"/>
  <c r="E39" i="8"/>
  <c r="D39" i="8"/>
  <c r="E38" i="8"/>
  <c r="D38" i="8"/>
  <c r="E37" i="8"/>
  <c r="D37" i="8"/>
  <c r="E36" i="8"/>
  <c r="D36" i="8"/>
  <c r="E35" i="8"/>
  <c r="D35" i="8"/>
  <c r="E34" i="8"/>
  <c r="D34" i="8"/>
  <c r="E33" i="8"/>
  <c r="D33" i="8"/>
  <c r="E32" i="8"/>
  <c r="D32" i="8"/>
  <c r="E31" i="8"/>
  <c r="D31" i="8"/>
  <c r="E30" i="8"/>
  <c r="D30" i="8"/>
  <c r="E29" i="8"/>
  <c r="D29" i="8"/>
  <c r="E28" i="8"/>
  <c r="D28" i="8"/>
  <c r="E27" i="8"/>
  <c r="D27" i="8"/>
  <c r="E26" i="8"/>
  <c r="D26" i="8"/>
  <c r="E25" i="8"/>
  <c r="D25" i="8"/>
  <c r="E24" i="8"/>
  <c r="D24" i="8"/>
  <c r="E23" i="8"/>
  <c r="D23" i="8"/>
  <c r="E22" i="8"/>
  <c r="D22" i="8"/>
  <c r="E21" i="8"/>
  <c r="D21" i="8"/>
  <c r="E20" i="8"/>
  <c r="D20" i="8"/>
  <c r="E19" i="8"/>
  <c r="D19" i="8"/>
  <c r="E18" i="8"/>
  <c r="D18" i="8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E6" i="8"/>
  <c r="D6" i="8"/>
  <c r="E5" i="8"/>
  <c r="D5" i="8"/>
  <c r="E4" i="8"/>
  <c r="D4" i="8"/>
  <c r="E3" i="8"/>
  <c r="D3" i="8"/>
  <c r="E2" i="8"/>
  <c r="D2" i="8"/>
  <c r="D834" i="8" l="1"/>
  <c r="E824" i="8"/>
  <c r="E835" i="8"/>
  <c r="D835" i="8"/>
  <c r="D827" i="8"/>
  <c r="E827" i="8"/>
  <c r="D838" i="8"/>
  <c r="E838" i="8"/>
  <c r="D820" i="8"/>
  <c r="E832" i="8"/>
  <c r="E837" i="8"/>
  <c r="E826" i="8"/>
  <c r="E831" i="8"/>
  <c r="D1000" i="8"/>
  <c r="E818" i="8"/>
  <c r="D821" i="8"/>
  <c r="D823" i="8"/>
  <c r="D828" i="8"/>
  <c r="D836" i="8"/>
  <c r="E998" i="8"/>
  <c r="D1001" i="8"/>
  <c r="D829" i="8"/>
  <c r="D819" i="8"/>
  <c r="D822" i="8"/>
  <c r="D825" i="8"/>
  <c r="D830" i="8"/>
  <c r="D833" i="8"/>
  <c r="D993" i="8"/>
  <c r="D999" i="8"/>
</calcChain>
</file>

<file path=xl/sharedStrings.xml><?xml version="1.0" encoding="utf-8"?>
<sst xmlns="http://schemas.openxmlformats.org/spreadsheetml/2006/main" count="5841" uniqueCount="71">
  <si>
    <t>Pays</t>
  </si>
  <si>
    <t>Prix</t>
  </si>
  <si>
    <t>Avril</t>
  </si>
  <si>
    <t>Mai</t>
  </si>
  <si>
    <t>Juin</t>
  </si>
  <si>
    <t>Juillet</t>
  </si>
  <si>
    <t>Rendement</t>
  </si>
  <si>
    <t>Cameroun</t>
  </si>
  <si>
    <t>Congo</t>
  </si>
  <si>
    <t>Gabon</t>
  </si>
  <si>
    <t>Guinée Equatoriale</t>
  </si>
  <si>
    <t>Tchad</t>
  </si>
  <si>
    <t>Septembre</t>
  </si>
  <si>
    <t>Octobre</t>
  </si>
  <si>
    <t>République centrafricaine</t>
  </si>
  <si>
    <t>Mars</t>
  </si>
  <si>
    <t>Février</t>
  </si>
  <si>
    <t>Janvier</t>
  </si>
  <si>
    <t>Décembre</t>
  </si>
  <si>
    <t>République Centrafricaine</t>
  </si>
  <si>
    <t>Aout</t>
  </si>
  <si>
    <t xml:space="preserve">Novembre </t>
  </si>
  <si>
    <t>Rachat</t>
  </si>
  <si>
    <t>titrisation</t>
  </si>
  <si>
    <t>PNOT</t>
  </si>
  <si>
    <t>Annee</t>
  </si>
  <si>
    <t>Mois lettre</t>
  </si>
  <si>
    <t>Mois chiffre</t>
  </si>
  <si>
    <t>titre</t>
  </si>
  <si>
    <t>BTA</t>
  </si>
  <si>
    <t>OTA</t>
  </si>
  <si>
    <t>Montant_annoncé_ou_émis</t>
  </si>
  <si>
    <t>Nature_de_l_opération</t>
  </si>
  <si>
    <t>Code_émission</t>
  </si>
  <si>
    <t>Date_d_adjudication</t>
  </si>
  <si>
    <t>Date_de_règlement</t>
  </si>
  <si>
    <t>Montant_millions_FCFA</t>
  </si>
  <si>
    <t>Date_de_remboursement</t>
  </si>
  <si>
    <t>Taux_de_Souscription</t>
  </si>
  <si>
    <t>Montant_levé</t>
  </si>
  <si>
    <t>Nature de l'obligation</t>
  </si>
  <si>
    <t>Emission</t>
  </si>
  <si>
    <t>Syndication</t>
  </si>
  <si>
    <t>Titrisation</t>
  </si>
  <si>
    <t>Maturité en année</t>
  </si>
  <si>
    <t>Titre</t>
  </si>
  <si>
    <t>Taux_ou_prix_limite</t>
  </si>
  <si>
    <t>Taux_ou_prix_min</t>
  </si>
  <si>
    <t>Taux_ou_prix_max</t>
  </si>
  <si>
    <t>SVT_Déplacés</t>
  </si>
  <si>
    <t>SVT_Locaux</t>
  </si>
  <si>
    <t>Zone de critere</t>
  </si>
  <si>
    <t>Nombre de titres</t>
  </si>
  <si>
    <t xml:space="preserve">2 </t>
  </si>
  <si>
    <t xml:space="preserve">3 </t>
  </si>
  <si>
    <t xml:space="preserve">5 </t>
  </si>
  <si>
    <t xml:space="preserve">4 </t>
  </si>
  <si>
    <t xml:space="preserve">6 </t>
  </si>
  <si>
    <t xml:space="preserve">7 </t>
  </si>
  <si>
    <t xml:space="preserve">8 </t>
  </si>
  <si>
    <t xml:space="preserve">9 </t>
  </si>
  <si>
    <t>10</t>
  </si>
  <si>
    <t>11</t>
  </si>
  <si>
    <t>12</t>
  </si>
  <si>
    <t>13</t>
  </si>
  <si>
    <t>14</t>
  </si>
  <si>
    <t>15</t>
  </si>
  <si>
    <t>Maturité_annee</t>
  </si>
  <si>
    <t>Taux de coupon(Taux de Rendement Moyen Pondéré)</t>
  </si>
  <si>
    <t>Année_adjudication</t>
  </si>
  <si>
    <t>Mois_adjudication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</si>
</sst>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\ _F_C_F_A_-;\-* #,##0\ _F_C_F_A_-;_-* &quot;-&quot;\ _F_C_F_A_-;_-@_-"/>
    <numFmt numFmtId="165" formatCode="[$-F800]dddd\,\ mmmm\ dd\,\ yyyy"/>
    <numFmt numFmtId="166" formatCode="yyyy\-mm\-dd;@"/>
  </numFmts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Times New Roman"/>
      <family val="1"/>
    </font>
    <font>
      <sz val="11"/>
      <name val="Bahnschrift"/>
      <family val="2"/>
    </font>
    <font>
      <b/>
      <sz val="10"/>
      <name val="Corbel"/>
      <family val="2"/>
    </font>
    <font>
      <b/>
      <sz val="12"/>
      <color rgb="FF0070C0"/>
      <name val="Garamond"/>
      <family val="1"/>
    </font>
    <font>
      <sz val="12"/>
      <name val="Garamond"/>
      <family val="1"/>
    </font>
    <font>
      <sz val="10"/>
      <color theme="0"/>
      <name val="Arial"/>
      <family val="2"/>
    </font>
    <font>
      <b/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</borders>
  <cellStyleXfs count="5">
    <xf numFmtId="0" fontId="0" fillId="0" borderId="0" applyNumberFormat="0" applyFont="0" applyFill="0" applyBorder="0" applyAlignment="0" applyProtection="0">
      <alignment vertical="top"/>
    </xf>
    <xf numFmtId="0" fontId="2" fillId="0" borderId="0" applyNumberFormat="0" applyFont="0" applyFill="0" applyBorder="0" applyAlignment="0" applyProtection="0">
      <alignment vertical="top"/>
    </xf>
    <xf numFmtId="0" fontId="1" fillId="0" borderId="0"/>
    <xf numFmtId="164" fontId="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3">
    <xf numFmtId="0" fontId="0" fillId="0" borderId="0" xfId="0" applyAlignment="1"/>
    <xf numFmtId="0" fontId="0" fillId="3" borderId="0" xfId="0" applyFill="1" applyAlignment="1"/>
    <xf numFmtId="0" fontId="2" fillId="0" borderId="0" xfId="0" applyFont="1" applyAlignment="1"/>
    <xf numFmtId="0" fontId="0" fillId="2" borderId="0" xfId="0" applyFill="1" applyAlignment="1"/>
    <xf numFmtId="0" fontId="0" fillId="4" borderId="0" xfId="0" applyFill="1" applyAlignment="1"/>
    <xf numFmtId="0" fontId="4" fillId="3" borderId="0" xfId="0" applyFont="1" applyFill="1" applyAlignment="1"/>
    <xf numFmtId="0" fontId="3" fillId="4" borderId="0" xfId="0" applyNumberFormat="1" applyFont="1" applyFill="1" applyBorder="1" applyAlignment="1" applyProtection="1">
      <alignment horizontal="center" vertical="center" wrapText="1"/>
    </xf>
    <xf numFmtId="165" fontId="3" fillId="4" borderId="0" xfId="0" applyNumberFormat="1" applyFont="1" applyFill="1" applyBorder="1" applyAlignment="1" applyProtection="1">
      <alignment horizontal="center" vertical="center" wrapText="1"/>
    </xf>
    <xf numFmtId="0" fontId="5" fillId="3" borderId="0" xfId="0" applyFont="1" applyFill="1" applyAlignment="1"/>
    <xf numFmtId="0" fontId="5" fillId="3" borderId="1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166" fontId="0" fillId="0" borderId="0" xfId="0" applyNumberFormat="1" applyAlignment="1"/>
    <xf numFmtId="2" fontId="6" fillId="3" borderId="1" xfId="0" applyNumberFormat="1" applyFont="1" applyFill="1" applyBorder="1" applyAlignment="1">
      <alignment horizontal="center" vertical="center"/>
    </xf>
    <xf numFmtId="0" fontId="6" fillId="3" borderId="1" xfId="0" applyNumberFormat="1" applyFont="1" applyFill="1" applyBorder="1" applyAlignment="1">
      <alignment horizontal="center" vertical="center"/>
    </xf>
    <xf numFmtId="14" fontId="6" fillId="5" borderId="1" xfId="0" applyNumberFormat="1" applyFont="1" applyFill="1" applyBorder="1" applyAlignment="1">
      <alignment horizontal="center" vertical="center"/>
    </xf>
    <xf numFmtId="0" fontId="0" fillId="6" borderId="0" xfId="0" applyFill="1" applyAlignment="1"/>
    <xf numFmtId="0" fontId="7" fillId="0" borderId="3" xfId="0" applyFont="1" applyBorder="1" applyAlignment="1"/>
    <xf numFmtId="0" fontId="0" fillId="0" borderId="3" xfId="0" applyBorder="1" applyAlignment="1"/>
    <xf numFmtId="2" fontId="0" fillId="0" borderId="0" xfId="0" applyNumberFormat="1" applyAlignment="1"/>
    <xf numFmtId="0" fontId="9" fillId="0" borderId="2" xfId="0" applyFont="1" applyBorder="1" applyAlignment="1">
      <alignment horizontal="center" vertical="center"/>
    </xf>
    <xf numFmtId="0" fontId="7" fillId="7" borderId="2" xfId="0" applyFont="1" applyFill="1" applyBorder="1" applyAlignment="1">
      <alignment horizontal="center"/>
    </xf>
    <xf numFmtId="2" fontId="0" fillId="6" borderId="0" xfId="0" applyNumberFormat="1" applyFill="1" applyAlignment="1"/>
    <xf numFmtId="0" fontId="0" fillId="8" borderId="0" xfId="0" applyFill="1" applyAlignment="1"/>
    <xf numFmtId="0" fontId="0" fillId="0" borderId="4" xfId="0" applyBorder="1" applyAlignment="1"/>
    <xf numFmtId="0" fontId="0" fillId="9" borderId="0" xfId="0" applyFill="1" applyAlignment="1"/>
    <xf numFmtId="0" fontId="2" fillId="9" borderId="0" xfId="0" applyFont="1" applyFill="1" applyAlignment="1"/>
    <xf numFmtId="2" fontId="0" fillId="9" borderId="0" xfId="0" applyNumberFormat="1" applyFill="1" applyAlignment="1"/>
    <xf numFmtId="0" fontId="0" fillId="9" borderId="0" xfId="0" applyNumberFormat="1" applyFill="1" applyAlignment="1"/>
    <xf numFmtId="0" fontId="8" fillId="6" borderId="2" xfId="0" applyFont="1" applyFill="1" applyBorder="1" applyAlignment="1">
      <alignment horizontal="center"/>
    </xf>
  </cellXfs>
  <cellStyles count="5">
    <cellStyle name="Milliers [0] 2" xfId="3" xr:uid="{00000000-0005-0000-0000-000002000000}"/>
    <cellStyle name="Normal" xfId="0" builtinId="0"/>
    <cellStyle name="Normal 2" xfId="2" xr:uid="{00000000-0005-0000-0000-000004000000}"/>
    <cellStyle name="Normal 4" xfId="1" xr:uid="{00000000-0005-0000-0000-000005000000}"/>
    <cellStyle name="Pourcentage 2" xfId="4" xr:uid="{00000000-0005-0000-0000-000006000000}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</dxf>
    <dxf>
      <numFmt numFmtId="166" formatCode="yyyy\-mm\-dd;@"/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</dxf>
    <dxf>
      <numFmt numFmtId="166" formatCode="yyyy\-mm\-dd;@"/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numFmt numFmtId="2" formatCode="0.00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border outline="0">
        <bottom style="thin">
          <color rgb="FF00B0F0"/>
        </bottom>
      </border>
    </dxf>
    <dxf>
      <fill>
        <patternFill patternType="solid">
          <fgColor indexed="64"/>
          <bgColor theme="4" tint="0.59999389629810485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317500</xdr:colOff>
      <xdr:row>6</xdr:row>
      <xdr:rowOff>120650</xdr:rowOff>
    </xdr:from>
    <xdr:to>
      <xdr:col>4</xdr:col>
      <xdr:colOff>679450</xdr:colOff>
      <xdr:row>10</xdr:row>
      <xdr:rowOff>25400</xdr:rowOff>
    </xdr:to>
    <xdr:sp macro="[0]!Aller_Formulair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AC0853D-D9E1-41DC-7E79-411520854021}"/>
            </a:ext>
          </a:extLst>
        </xdr:cNvPr>
        <xdr:cNvSpPr/>
      </xdr:nvSpPr>
      <xdr:spPr>
        <a:xfrm>
          <a:off x="1079500" y="1073150"/>
          <a:ext cx="2647950" cy="539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M" sz="1600" b="1">
              <a:latin typeface="Gabriola" panose="04040605051002020D02" pitchFamily="82" charset="0"/>
            </a:rPr>
            <a:t>Aller au formulaire</a:t>
          </a:r>
        </a:p>
      </xdr:txBody>
    </xdr:sp>
    <xdr:clientData/>
  </xdr:twoCellAnchor>
  <xdr:twoCellAnchor>
    <xdr:from>
      <xdr:col>5</xdr:col>
      <xdr:colOff>615950</xdr:colOff>
      <xdr:row>6</xdr:row>
      <xdr:rowOff>120650</xdr:rowOff>
    </xdr:from>
    <xdr:to>
      <xdr:col>9</xdr:col>
      <xdr:colOff>215900</xdr:colOff>
      <xdr:row>10</xdr:row>
      <xdr:rowOff>25400</xdr:rowOff>
    </xdr:to>
    <xdr:sp macro="[0]!Aller_Data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1CA4FDC-14A5-5805-CEC4-43316C3C7912}"/>
            </a:ext>
          </a:extLst>
        </xdr:cNvPr>
        <xdr:cNvSpPr/>
      </xdr:nvSpPr>
      <xdr:spPr>
        <a:xfrm>
          <a:off x="4425950" y="1073150"/>
          <a:ext cx="2647950" cy="539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M" sz="1600" b="1">
              <a:latin typeface="Gabriola" panose="04040605051002020D02" pitchFamily="82" charset="0"/>
            </a:rPr>
            <a:t>Aller aux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0</xdr:row>
      <xdr:rowOff>88900</xdr:rowOff>
    </xdr:from>
    <xdr:to>
      <xdr:col>2</xdr:col>
      <xdr:colOff>234950</xdr:colOff>
      <xdr:row>3</xdr:row>
      <xdr:rowOff>139700</xdr:rowOff>
    </xdr:to>
    <xdr:sp macro="[0]!Module2.Aller_Accueil" textlink="">
      <xdr:nvSpPr>
        <xdr:cNvPr id="2" name="Rectangle 1">
          <a:extLst>
            <a:ext uri="{FF2B5EF4-FFF2-40B4-BE49-F238E27FC236}">
              <a16:creationId xmlns:a16="http://schemas.microsoft.com/office/drawing/2014/main" id="{2DAA9826-069D-7311-E486-7F7007FDF028}"/>
            </a:ext>
          </a:extLst>
        </xdr:cNvPr>
        <xdr:cNvSpPr/>
      </xdr:nvSpPr>
      <xdr:spPr>
        <a:xfrm>
          <a:off x="88900" y="88900"/>
          <a:ext cx="958850" cy="5524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CM" sz="1600" b="1"/>
            <a:t>Accueil</a:t>
          </a:r>
        </a:p>
      </xdr:txBody>
    </xdr:sp>
    <xdr:clientData/>
  </xdr:twoCellAnchor>
  <xdr:twoCellAnchor>
    <xdr:from>
      <xdr:col>9</xdr:col>
      <xdr:colOff>730250</xdr:colOff>
      <xdr:row>17</xdr:row>
      <xdr:rowOff>114300</xdr:rowOff>
    </xdr:from>
    <xdr:to>
      <xdr:col>11</xdr:col>
      <xdr:colOff>50800</xdr:colOff>
      <xdr:row>19</xdr:row>
      <xdr:rowOff>101600</xdr:rowOff>
    </xdr:to>
    <xdr:sp macro="[0]!Enregistr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053BB16-C963-7182-6429-5A55271B3898}"/>
            </a:ext>
          </a:extLst>
        </xdr:cNvPr>
        <xdr:cNvSpPr/>
      </xdr:nvSpPr>
      <xdr:spPr>
        <a:xfrm>
          <a:off x="8547100" y="3282950"/>
          <a:ext cx="1555750" cy="349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M" sz="1600">
              <a:latin typeface="Gabriola" panose="04040605051002020D02" pitchFamily="82" charset="0"/>
            </a:rPr>
            <a:t>Enregistrer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101600</xdr:rowOff>
    </xdr:from>
    <xdr:to>
      <xdr:col>3</xdr:col>
      <xdr:colOff>501650</xdr:colOff>
      <xdr:row>5</xdr:row>
      <xdr:rowOff>127000</xdr:rowOff>
    </xdr:to>
    <xdr:sp macro="[0]!Filtr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D4C743-7F75-0A02-7348-293958C59B56}"/>
            </a:ext>
          </a:extLst>
        </xdr:cNvPr>
        <xdr:cNvSpPr/>
      </xdr:nvSpPr>
      <xdr:spPr>
        <a:xfrm>
          <a:off x="666750" y="577850"/>
          <a:ext cx="2120900" cy="381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M" sz="1600">
              <a:latin typeface="Garamond" panose="02020404030301010803" pitchFamily="18" charset="0"/>
            </a:rPr>
            <a:t>Filtrer</a:t>
          </a:r>
        </a:p>
      </xdr:txBody>
    </xdr:sp>
    <xdr:clientData/>
  </xdr:twoCellAnchor>
  <xdr:twoCellAnchor>
    <xdr:from>
      <xdr:col>7</xdr:col>
      <xdr:colOff>101600</xdr:colOff>
      <xdr:row>3</xdr:row>
      <xdr:rowOff>101600</xdr:rowOff>
    </xdr:from>
    <xdr:to>
      <xdr:col>8</xdr:col>
      <xdr:colOff>215900</xdr:colOff>
      <xdr:row>5</xdr:row>
      <xdr:rowOff>127000</xdr:rowOff>
    </xdr:to>
    <xdr:sp macro="[0]!Effac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B25429C-88EC-48F1-91D1-CFD6DDA9760A}"/>
            </a:ext>
          </a:extLst>
        </xdr:cNvPr>
        <xdr:cNvSpPr/>
      </xdr:nvSpPr>
      <xdr:spPr>
        <a:xfrm>
          <a:off x="5473700" y="577850"/>
          <a:ext cx="1727200" cy="38100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M" sz="1600">
              <a:latin typeface="Garamond" panose="02020404030301010803" pitchFamily="18" charset="0"/>
            </a:rPr>
            <a:t>Effacer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C23478-4988-4725-A68E-407056865698}" name="Tableau9" displayName="Tableau9" ref="A9:L26" totalsRowShown="0" headerRowDxfId="12" tableBorderDxfId="11">
  <autoFilter ref="A9:L26" xr:uid="{00C23478-4988-4725-A68E-407056865698}"/>
  <sortState xmlns:xlrd2="http://schemas.microsoft.com/office/spreadsheetml/2017/richdata2" ref="A10:L26">
    <sortCondition ref="C9:C26"/>
  </sortState>
  <tableColumns count="12">
    <tableColumn id="1" xr3:uid="{F7803F43-F26B-4E41-A6CF-862F7D0FFC64}" name="Pays"/>
    <tableColumn id="2" xr3:uid="{ED7D2679-9C2B-4485-98CE-2750A13F64F7}" name="Titre"/>
    <tableColumn id="3" xr3:uid="{8BC002D4-323C-449A-86D0-49034C3FA6F2}" name="Maturité_annee"/>
    <tableColumn id="4" xr3:uid="{3764A42D-B6D7-40B4-94B5-975937F50328}" name="Année_adjudication"/>
    <tableColumn id="5" xr3:uid="{DE0CABE8-D263-4F6A-85B5-09900FB87153}" name="Mois_adjudication"/>
    <tableColumn id="6" xr3:uid="{F4609007-365D-4846-BC88-69571F318670}" name="Date_d_adjudication"/>
    <tableColumn id="7" xr3:uid="{11D8A92D-DBED-4172-A963-F39E81E157EA}" name="Prix"/>
    <tableColumn id="8" xr3:uid="{E778E743-806E-45BF-A2AD-6DE375B63FF4}" name="Date_de_remboursement"/>
    <tableColumn id="9" xr3:uid="{929DA1F5-7906-4267-9FE9-08F1CB466335}" name="Taux_de_Souscription"/>
    <tableColumn id="10" xr3:uid="{9376214A-2CE1-4290-898A-706879A5D08B}" name="Montant_annoncé_ou_émis"/>
    <tableColumn id="11" xr3:uid="{68AC96E3-2B12-4D38-B5D6-BF8082C11BA1}" name="Taux de coupon(Taux de Rendement Moyen Pondéré)"/>
    <tableColumn id="12" xr3:uid="{8FFA4824-173C-4F5D-B5AB-7C089112733B}" name="Rendement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03F8BB-31FE-4603-A7EB-5065EB0CF511}" name="TableauFlitrage" displayName="TableauFlitrage" ref="A1:L2451" totalsRowShown="0">
  <sortState xmlns:xlrd2="http://schemas.microsoft.com/office/spreadsheetml/2017/richdata2" ref="A2:L2451">
    <sortCondition ref="F1:F2451"/>
  </sortState>
  <tableColumns count="12">
    <tableColumn id="1" xr3:uid="{CCB5DFC9-72DA-47FA-BD34-B340FC3AB228}" name="Pays" dataDxfId="10"/>
    <tableColumn id="3" xr3:uid="{A88BB3B4-FB32-4E96-9E87-6A911FF413F9}" name="Titre"/>
    <tableColumn id="4" xr3:uid="{D2487FF4-77AD-4A52-974D-8BEFD5BAC1C8}" name="Maturité_annee" dataDxfId="9"/>
    <tableColumn id="22" xr3:uid="{C642DC9E-A814-4988-B242-D303C16F7CA9}" name="Année_adjudication" dataDxfId="8">
      <calculatedColumnFormula>YEAR(TableauFlitrage[[#This Row],[Date_d_adjudication]])</calculatedColumnFormula>
    </tableColumn>
    <tableColumn id="6" xr3:uid="{1BB8ABCF-0F38-455E-971B-39FE49EA6951}" name="Mois_adjudication" dataDxfId="7">
      <calculatedColumnFormula>MONTH(F2)</calculatedColumnFormula>
    </tableColumn>
    <tableColumn id="7" xr3:uid="{5C7BA3EB-723A-43E1-9316-EC502362327C}" name="Date_d_adjudication" dataDxfId="6"/>
    <tableColumn id="10" xr3:uid="{359106A4-91CB-4CE6-8C93-43AEB7410615}" name="Prix" dataDxfId="5"/>
    <tableColumn id="11" xr3:uid="{45B5C2CC-B0E5-4366-AD25-55BFBFD0240F}" name="Date_de_remboursement" dataDxfId="4"/>
    <tableColumn id="12" xr3:uid="{582D9322-2ECD-4EF5-9B76-667D11F98053}" name="Taux_de_Souscription"/>
    <tableColumn id="19" xr3:uid="{986F777A-B61D-4BB4-8D62-AA985923BFC1}" name="Montant_annoncé_ou_émis"/>
    <tableColumn id="20" xr3:uid="{8D4C78FE-BC5F-45DD-9082-4AF85DEB60F7}" name="Taux de coupon(Taux de Rendement Moyen Pondéré)" dataDxfId="3"/>
    <tableColumn id="21" xr3:uid="{FCCB4FAD-CFEC-40EC-B94C-BFF3AC009372}" name="Rendemen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94E539-7BDD-458A-AF65-E4D337F7875F}" name="TableauPays" displayName="TableauPays" ref="B1:B7" totalsRowShown="0">
  <autoFilter ref="B1:B7" xr:uid="{7494E539-7BDD-458A-AF65-E4D337F7875F}">
    <filterColumn colId="0" hiddenButton="1"/>
  </autoFilter>
  <tableColumns count="1">
    <tableColumn id="1" xr3:uid="{89706919-4592-41B0-9C3D-ACFD55AE366B}" name="Pays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1A36BA-A61A-44C7-B178-8FF02CDB616A}" name="TableauAnnee" displayName="TableauAnnee" ref="C1:C16" totalsRowShown="0">
  <autoFilter ref="C1:C16" xr:uid="{851A36BA-A61A-44C7-B178-8FF02CDB616A}">
    <filterColumn colId="0" hiddenButton="1"/>
  </autoFilter>
  <tableColumns count="1">
    <tableColumn id="1" xr3:uid="{DED765C6-FD9A-41D9-B924-47726FA62E76}" name="Annee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27E3C4-DCCE-4BC8-B907-548F2E3CB987}" name="TableauMoisLettre" displayName="TableauMoisLettre" ref="D1:D13" totalsRowShown="0">
  <autoFilter ref="D1:D13" xr:uid="{2227E3C4-DCCE-4BC8-B907-548F2E3CB987}"/>
  <tableColumns count="1">
    <tableColumn id="1" xr3:uid="{A8E1FA53-D1FD-4C77-AAA9-9558886AEF9C}" name="Mois lettre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83236F-4F69-489E-A488-3BAEB1D97746}" name="TableauMoisChiffre" displayName="TableauMoisChiffre" ref="E1:E13" totalsRowShown="0">
  <autoFilter ref="E1:E13" xr:uid="{C483236F-4F69-489E-A488-3BAEB1D97746}"/>
  <tableColumns count="1">
    <tableColumn id="1" xr3:uid="{5E2576AA-804F-4D16-8623-BE9C91ED226C}" name="Mois chiff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AAE07C-8765-4886-AA16-1767902C77EA}" name="TableauTitre" displayName="TableauTitre" ref="F1:F6" totalsRowShown="0">
  <autoFilter ref="F1:F6" xr:uid="{44AAE07C-8765-4886-AA16-1767902C77EA}"/>
  <tableColumns count="1">
    <tableColumn id="1" xr3:uid="{1DE4EA86-00FE-4AF4-B86F-690A22972264}" name="titre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9B83B15-055E-4651-B8A0-2D527C652F6C}" name="TableauNatureObligation" displayName="TableauNatureObligation" ref="G1:G6" totalsRowShown="0" headerRowDxfId="2" dataDxfId="1">
  <autoFilter ref="G1:G6" xr:uid="{39B83B15-055E-4651-B8A0-2D527C652F6C}"/>
  <tableColumns count="1">
    <tableColumn id="1" xr3:uid="{0D96B845-A0F7-4D80-B4BD-81642CE89D64}" name="Nature de l'obligation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42362-8407-4520-A2BD-A5F6AAC52CB6}">
  <sheetPr codeName="Feuil1"/>
  <dimension ref="A1"/>
  <sheetViews>
    <sheetView workbookViewId="0">
      <selection activeCell="B6" sqref="B6"/>
    </sheetView>
  </sheetViews>
  <sheetFormatPr defaultColWidth="10.85546875" defaultRowHeight="12.75" x14ac:dyDescent="0.2"/>
  <cols>
    <col min="1" max="16384" width="10.8554687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A3F8-71E2-4171-B595-7528EBEA3866}">
  <sheetPr codeName="Feuil2"/>
  <dimension ref="A1:P36"/>
  <sheetViews>
    <sheetView topLeftCell="F7" zoomScale="85" zoomScaleNormal="85" workbookViewId="0">
      <selection activeCell="I16" sqref="I16"/>
    </sheetView>
  </sheetViews>
  <sheetFormatPr defaultColWidth="11.42578125" defaultRowHeight="12.75" x14ac:dyDescent="0.2"/>
  <cols>
    <col min="1" max="1" width="6" customWidth="1"/>
    <col min="2" max="2" width="5.5703125" customWidth="1"/>
    <col min="4" max="4" width="4.5703125" customWidth="1"/>
    <col min="5" max="5" width="22.85546875" bestFit="1" customWidth="1"/>
    <col min="6" max="6" width="5.5703125" customWidth="1"/>
    <col min="7" max="7" width="22.85546875" bestFit="1" customWidth="1"/>
    <col min="8" max="8" width="5.5703125" customWidth="1"/>
    <col min="9" max="9" width="43.5703125" bestFit="1" customWidth="1"/>
    <col min="10" max="10" width="5.5703125" customWidth="1"/>
    <col min="11" max="11" width="21.140625" bestFit="1" customWidth="1"/>
    <col min="12" max="12" width="4.5703125" customWidth="1"/>
  </cols>
  <sheetData>
    <row r="1" spans="1:16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16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 ht="15" thickBot="1" x14ac:dyDescent="0.25">
      <c r="A3" s="3"/>
      <c r="B3" s="3"/>
      <c r="C3" s="3"/>
      <c r="D3" s="5"/>
      <c r="E3" s="5"/>
      <c r="F3" s="5"/>
      <c r="G3" s="5"/>
      <c r="H3" s="5"/>
      <c r="I3" s="5"/>
      <c r="J3" s="5"/>
      <c r="K3" s="5"/>
      <c r="L3" s="5"/>
      <c r="M3" s="3"/>
      <c r="N3" s="3"/>
      <c r="O3" s="3"/>
      <c r="P3" s="3"/>
    </row>
    <row r="4" spans="1:16" ht="15.75" thickTop="1" thickBot="1" x14ac:dyDescent="0.25">
      <c r="A4" s="3"/>
      <c r="B4" s="3"/>
      <c r="C4" s="3"/>
      <c r="D4" s="5"/>
      <c r="E4" s="9" t="s">
        <v>0</v>
      </c>
      <c r="F4" s="8"/>
      <c r="G4" s="11" t="s">
        <v>32</v>
      </c>
      <c r="H4" s="1"/>
      <c r="I4" s="9" t="s">
        <v>45</v>
      </c>
      <c r="J4" s="8"/>
      <c r="K4" s="9" t="s">
        <v>44</v>
      </c>
      <c r="L4" s="5"/>
      <c r="M4" s="3"/>
      <c r="N4" s="3"/>
      <c r="O4" s="3"/>
      <c r="P4" s="3"/>
    </row>
    <row r="5" spans="1:16" ht="17.25" thickTop="1" thickBot="1" x14ac:dyDescent="0.3">
      <c r="A5" s="4"/>
      <c r="B5" s="4"/>
      <c r="C5" s="4"/>
      <c r="D5" s="5"/>
      <c r="E5" s="13"/>
      <c r="F5" s="8"/>
      <c r="G5" s="14"/>
      <c r="H5" s="1"/>
      <c r="I5" s="13"/>
      <c r="J5" s="8"/>
      <c r="K5" s="13"/>
      <c r="L5" s="5"/>
      <c r="M5" s="4"/>
      <c r="N5" s="4"/>
      <c r="O5" s="4"/>
      <c r="P5" s="4"/>
    </row>
    <row r="6" spans="1:16" ht="9.9499999999999993" customHeight="1" thickTop="1" thickBot="1" x14ac:dyDescent="0.25">
      <c r="A6" s="4"/>
      <c r="B6" s="4"/>
      <c r="C6" s="4"/>
      <c r="D6" s="5"/>
      <c r="E6" s="10"/>
      <c r="F6" s="8"/>
      <c r="G6" s="12"/>
      <c r="H6" s="1"/>
      <c r="I6" s="10"/>
      <c r="J6" s="8"/>
      <c r="K6" s="10"/>
      <c r="L6" s="5"/>
      <c r="M6" s="4"/>
      <c r="N6" s="4"/>
      <c r="O6" s="4"/>
      <c r="P6" s="4"/>
    </row>
    <row r="7" spans="1:16" ht="15.75" thickTop="1" thickBot="1" x14ac:dyDescent="0.25">
      <c r="A7" s="4"/>
      <c r="B7" s="4"/>
      <c r="C7" s="4"/>
      <c r="D7" s="5"/>
      <c r="E7" s="11" t="s">
        <v>33</v>
      </c>
      <c r="F7" s="8"/>
      <c r="G7" s="9" t="s">
        <v>34</v>
      </c>
      <c r="H7" s="1"/>
      <c r="I7" s="9" t="s">
        <v>35</v>
      </c>
      <c r="J7" s="8"/>
      <c r="K7" s="11" t="s">
        <v>36</v>
      </c>
      <c r="L7" s="5"/>
      <c r="M7" s="4"/>
      <c r="N7" s="4"/>
      <c r="O7" s="4"/>
      <c r="P7" s="4"/>
    </row>
    <row r="8" spans="1:16" ht="17.25" thickTop="1" thickBot="1" x14ac:dyDescent="0.25">
      <c r="A8" s="4"/>
      <c r="B8" s="4"/>
      <c r="C8" s="4"/>
      <c r="D8" s="5"/>
      <c r="E8" s="13"/>
      <c r="F8" s="8"/>
      <c r="G8" s="18"/>
      <c r="H8" s="1"/>
      <c r="I8" s="18"/>
      <c r="J8" s="8"/>
      <c r="K8" s="17"/>
      <c r="L8" s="5"/>
      <c r="M8" s="6"/>
      <c r="N8" s="6"/>
      <c r="O8" s="7"/>
      <c r="P8" s="7"/>
    </row>
    <row r="9" spans="1:16" ht="9.9499999999999993" customHeight="1" thickTop="1" thickBot="1" x14ac:dyDescent="0.25">
      <c r="A9" s="4"/>
      <c r="B9" s="4"/>
      <c r="C9" s="4"/>
      <c r="D9" s="5"/>
      <c r="E9" s="10"/>
      <c r="F9" s="8"/>
      <c r="G9" s="12"/>
      <c r="H9" s="1"/>
      <c r="I9" s="10"/>
      <c r="J9" s="8"/>
      <c r="K9" s="10"/>
      <c r="L9" s="5"/>
      <c r="M9" s="6"/>
      <c r="N9" s="6"/>
      <c r="O9" s="7"/>
      <c r="P9" s="7"/>
    </row>
    <row r="10" spans="1:16" ht="15.75" thickTop="1" thickBot="1" x14ac:dyDescent="0.25">
      <c r="A10" s="4"/>
      <c r="B10" s="4"/>
      <c r="C10" s="4"/>
      <c r="D10" s="5"/>
      <c r="E10" s="9" t="s">
        <v>1</v>
      </c>
      <c r="F10" s="8"/>
      <c r="G10" s="9" t="s">
        <v>37</v>
      </c>
      <c r="H10" s="1"/>
      <c r="I10" s="11" t="s">
        <v>38</v>
      </c>
      <c r="J10" s="8"/>
      <c r="K10" s="9" t="s">
        <v>50</v>
      </c>
      <c r="L10" s="5"/>
      <c r="M10" s="4"/>
      <c r="N10" s="4"/>
      <c r="O10" s="4"/>
      <c r="P10" s="4"/>
    </row>
    <row r="11" spans="1:16" ht="17.25" thickTop="1" thickBot="1" x14ac:dyDescent="0.25">
      <c r="A11" s="4"/>
      <c r="B11" s="4"/>
      <c r="C11" s="4"/>
      <c r="D11" s="5"/>
      <c r="E11" s="13"/>
      <c r="F11" s="8"/>
      <c r="G11" s="18"/>
      <c r="H11" s="1"/>
      <c r="I11" s="16"/>
      <c r="J11" s="8"/>
      <c r="K11" s="17"/>
      <c r="L11" s="5"/>
      <c r="M11" s="4"/>
      <c r="N11" s="4"/>
      <c r="O11" s="4"/>
      <c r="P11" s="4"/>
    </row>
    <row r="12" spans="1:16" ht="9.9499999999999993" customHeight="1" thickTop="1" thickBot="1" x14ac:dyDescent="0.25">
      <c r="A12" s="4"/>
      <c r="B12" s="4"/>
      <c r="C12" s="4"/>
      <c r="D12" s="5"/>
      <c r="E12" s="10"/>
      <c r="F12" s="8"/>
      <c r="G12" s="12"/>
      <c r="H12" s="1"/>
      <c r="I12" s="10"/>
      <c r="J12" s="8"/>
      <c r="K12" s="10"/>
      <c r="L12" s="5"/>
      <c r="M12" s="4"/>
      <c r="N12" s="4"/>
      <c r="O12" s="4"/>
      <c r="P12" s="4"/>
    </row>
    <row r="13" spans="1:16" ht="15.75" thickTop="1" thickBot="1" x14ac:dyDescent="0.25">
      <c r="A13" s="4"/>
      <c r="B13" s="4"/>
      <c r="C13" s="4"/>
      <c r="D13" s="5"/>
      <c r="E13" s="9" t="s">
        <v>49</v>
      </c>
      <c r="F13" s="8"/>
      <c r="G13" s="11" t="s">
        <v>39</v>
      </c>
      <c r="H13" s="1"/>
      <c r="I13" s="9" t="s">
        <v>46</v>
      </c>
      <c r="J13" s="8"/>
      <c r="K13" s="9" t="s">
        <v>47</v>
      </c>
      <c r="L13" s="5"/>
      <c r="M13" s="4"/>
      <c r="N13" s="4"/>
      <c r="O13" s="4"/>
      <c r="P13" s="4"/>
    </row>
    <row r="14" spans="1:16" ht="17.25" thickTop="1" thickBot="1" x14ac:dyDescent="0.3">
      <c r="A14" s="4"/>
      <c r="B14" s="4"/>
      <c r="C14" s="4"/>
      <c r="D14" s="5"/>
      <c r="E14" s="13"/>
      <c r="F14" s="8"/>
      <c r="G14" s="14"/>
      <c r="H14" s="1"/>
      <c r="I14" s="13"/>
      <c r="J14" s="8"/>
      <c r="K14" s="13"/>
      <c r="L14" s="5"/>
      <c r="M14" s="4"/>
      <c r="N14" s="4"/>
      <c r="O14" s="4"/>
      <c r="P14" s="4"/>
    </row>
    <row r="15" spans="1:16" ht="9.9499999999999993" customHeight="1" thickTop="1" thickBot="1" x14ac:dyDescent="0.25">
      <c r="A15" s="4"/>
      <c r="B15" s="4"/>
      <c r="C15" s="4"/>
      <c r="D15" s="5"/>
      <c r="E15" s="10"/>
      <c r="F15" s="8"/>
      <c r="G15" s="12"/>
      <c r="H15" s="1"/>
      <c r="I15" s="10"/>
      <c r="J15" s="8"/>
      <c r="K15" s="10"/>
      <c r="L15" s="5"/>
      <c r="M15" s="4"/>
      <c r="N15" s="4"/>
      <c r="O15" s="4"/>
      <c r="P15" s="4"/>
    </row>
    <row r="16" spans="1:16" ht="15.75" thickTop="1" thickBot="1" x14ac:dyDescent="0.25">
      <c r="A16" s="4"/>
      <c r="B16" s="4"/>
      <c r="C16" s="4"/>
      <c r="D16" s="5"/>
      <c r="E16" s="9" t="s">
        <v>48</v>
      </c>
      <c r="F16" s="8"/>
      <c r="G16" s="11" t="s">
        <v>31</v>
      </c>
      <c r="H16" s="1"/>
      <c r="I16" s="9" t="s">
        <v>68</v>
      </c>
      <c r="J16" s="8"/>
      <c r="K16" s="9" t="s">
        <v>6</v>
      </c>
      <c r="L16" s="5"/>
      <c r="M16" s="4"/>
      <c r="N16" s="4"/>
      <c r="O16" s="4"/>
      <c r="P16" s="4"/>
    </row>
    <row r="17" spans="1:16" ht="17.25" thickTop="1" thickBot="1" x14ac:dyDescent="0.3">
      <c r="A17" s="4"/>
      <c r="B17" s="4"/>
      <c r="C17" s="4"/>
      <c r="D17" s="5"/>
      <c r="E17" s="13"/>
      <c r="F17" s="8"/>
      <c r="G17" s="14"/>
      <c r="H17" s="1"/>
      <c r="I17" s="13"/>
      <c r="J17" s="8"/>
      <c r="K17" s="13"/>
      <c r="L17" s="5"/>
      <c r="M17" s="4"/>
      <c r="N17" s="4"/>
      <c r="O17" s="4"/>
      <c r="P17" s="4"/>
    </row>
    <row r="18" spans="1:16" ht="15" thickTop="1" x14ac:dyDescent="0.2">
      <c r="A18" s="4"/>
      <c r="B18" s="4"/>
      <c r="C18" s="4"/>
      <c r="D18" s="5"/>
      <c r="E18" s="8"/>
      <c r="F18" s="8"/>
      <c r="G18" s="8"/>
      <c r="H18" s="8"/>
      <c r="I18" s="8"/>
      <c r="J18" s="8"/>
      <c r="K18" s="8"/>
      <c r="L18" s="5"/>
      <c r="M18" s="4"/>
      <c r="N18" s="4"/>
      <c r="O18" s="4"/>
      <c r="P18" s="4"/>
    </row>
    <row r="19" spans="1:16" ht="14.25" x14ac:dyDescent="0.2">
      <c r="A19" s="4"/>
      <c r="B19" s="4"/>
      <c r="C19" s="4"/>
      <c r="D19" s="5"/>
      <c r="E19" s="5"/>
      <c r="F19" s="5"/>
      <c r="G19" s="5"/>
      <c r="H19" s="5"/>
      <c r="I19" s="5"/>
      <c r="J19" s="5"/>
      <c r="K19" s="5"/>
      <c r="L19" s="5"/>
      <c r="M19" s="4"/>
      <c r="N19" s="4"/>
      <c r="O19" s="4"/>
      <c r="P19" s="4"/>
    </row>
    <row r="20" spans="1:16" x14ac:dyDescent="0.2">
      <c r="A20" s="4"/>
      <c r="B20" s="4"/>
      <c r="C20" s="4"/>
      <c r="D20" s="1"/>
      <c r="E20" s="1"/>
      <c r="F20" s="1"/>
      <c r="G20" s="1"/>
      <c r="H20" s="1"/>
      <c r="I20" s="1"/>
      <c r="J20" s="1"/>
      <c r="K20" s="1"/>
      <c r="L20" s="1"/>
      <c r="M20" s="4"/>
      <c r="N20" s="4"/>
      <c r="O20" s="4"/>
      <c r="P20" s="4"/>
    </row>
    <row r="21" spans="1:16" x14ac:dyDescent="0.2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</row>
    <row r="22" spans="1:16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spans="1:16" x14ac:dyDescent="0.2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</row>
    <row r="24" spans="1:16" x14ac:dyDescent="0.2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</row>
    <row r="25" spans="1:16" x14ac:dyDescent="0.2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spans="1:16" x14ac:dyDescent="0.2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</row>
    <row r="27" spans="1:16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</row>
    <row r="28" spans="1:16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spans="1:16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</row>
    <row r="30" spans="1:16" x14ac:dyDescent="0.2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</row>
    <row r="31" spans="1:16" x14ac:dyDescent="0.2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</row>
    <row r="32" spans="1:16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spans="1:16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</row>
    <row r="34" spans="1:16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</row>
    <row r="35" spans="1:16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</row>
    <row r="36" spans="1:16" x14ac:dyDescent="0.2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</row>
  </sheetData>
  <dataConsolidate/>
  <dataValidations count="1">
    <dataValidation type="decimal" operator="greaterThan" allowBlank="1" showInputMessage="1" showErrorMessage="1" sqref="K5" xr:uid="{588F53D0-AA63-4EBD-87D5-760B83CADE5F}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AD8B772-3448-4FF2-A8A4-BB89E3830A91}">
          <x14:formula1>
            <xm:f>Liste!$B$2:$B$7</xm:f>
          </x14:formula1>
          <xm:sqref>E5</xm:sqref>
        </x14:dataValidation>
        <x14:dataValidation type="list" allowBlank="1" showInputMessage="1" showErrorMessage="1" xr:uid="{1BC2F687-2209-4008-AC29-2163A945804A}">
          <x14:formula1>
            <xm:f>Liste!$F$2:$F$3</xm:f>
          </x14:formula1>
          <xm:sqref>I5</xm:sqref>
        </x14:dataValidation>
        <x14:dataValidation type="list" allowBlank="1" showInputMessage="1" showErrorMessage="1" xr:uid="{E525EA8C-A538-46E8-8159-B8405B775D06}">
          <x14:formula1>
            <xm:f>Liste!$G$2:$G$6</xm:f>
          </x14:formula1>
          <xm:sqref>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40D2F-EA24-45D2-9E40-25315F0FA96E}">
  <sheetPr codeName="Feuil5"/>
  <dimension ref="A1:W600"/>
  <sheetViews>
    <sheetView workbookViewId="0">
      <selection activeCell="E6" sqref="E6"/>
    </sheetView>
  </sheetViews>
  <sheetFormatPr defaultColWidth="11.42578125" defaultRowHeight="12.75" x14ac:dyDescent="0.2"/>
  <cols>
    <col min="1" max="1" width="9" bestFit="1" customWidth="1"/>
    <col min="2" max="2" width="6.42578125" customWidth="1"/>
    <col min="3" max="3" width="15.140625" style="22" customWidth="1"/>
    <col min="4" max="4" width="18.140625" customWidth="1"/>
    <col min="5" max="5" width="17" customWidth="1"/>
    <col min="6" max="6" width="19" customWidth="1"/>
    <col min="7" max="7" width="9.85546875" bestFit="1" customWidth="1"/>
    <col min="8" max="8" width="23.140625" customWidth="1"/>
    <col min="9" max="9" width="20.42578125" customWidth="1"/>
    <col min="10" max="10" width="24.5703125" customWidth="1"/>
    <col min="11" max="11" width="45.85546875" customWidth="1"/>
    <col min="12" max="12" width="34.140625" bestFit="1" customWidth="1"/>
    <col min="20" max="20" width="10.140625" bestFit="1" customWidth="1"/>
    <col min="21" max="21" width="6.28515625" bestFit="1" customWidth="1"/>
    <col min="22" max="22" width="5.140625" bestFit="1" customWidth="1"/>
  </cols>
  <sheetData>
    <row r="1" spans="1:23" x14ac:dyDescent="0.2">
      <c r="A1" s="19"/>
      <c r="B1" s="19"/>
      <c r="C1" s="25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</row>
    <row r="2" spans="1:23" x14ac:dyDescent="0.2">
      <c r="A2" s="19"/>
      <c r="B2" s="19"/>
      <c r="C2" s="25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S2" s="32" t="s">
        <v>51</v>
      </c>
      <c r="T2" s="32"/>
      <c r="U2" s="32"/>
      <c r="V2" s="32"/>
      <c r="W2" s="32"/>
    </row>
    <row r="3" spans="1:23" x14ac:dyDescent="0.2">
      <c r="A3" s="19"/>
      <c r="B3" s="19"/>
      <c r="C3" s="25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</row>
    <row r="5" spans="1:23" ht="15.75" x14ac:dyDescent="0.25">
      <c r="E5" s="20" t="s">
        <v>0</v>
      </c>
      <c r="F5" s="20" t="s">
        <v>69</v>
      </c>
      <c r="G5" s="20" t="s">
        <v>70</v>
      </c>
      <c r="J5" s="24" t="s">
        <v>52</v>
      </c>
      <c r="T5" s="20" t="s">
        <v>0</v>
      </c>
      <c r="U5" s="20" t="s">
        <v>69</v>
      </c>
      <c r="V5" s="20" t="s">
        <v>70</v>
      </c>
    </row>
    <row r="6" spans="1:23" ht="15.75" x14ac:dyDescent="0.2">
      <c r="E6" s="21" t="s">
        <v>7</v>
      </c>
      <c r="F6" s="21">
        <v>2024</v>
      </c>
      <c r="G6" s="21">
        <v>5</v>
      </c>
      <c r="J6" s="23">
        <f>COUNTA(A10:A249)</f>
        <v>17</v>
      </c>
      <c r="T6" t="str">
        <f>IF(E6="","","="&amp;E6)</f>
        <v>=Cameroun</v>
      </c>
      <c r="U6" t="str">
        <f>IF(F6="","","="&amp;F6)</f>
        <v>=2024</v>
      </c>
      <c r="V6" t="str">
        <f>IF(G6="","","="&amp;G6)</f>
        <v>=5</v>
      </c>
    </row>
    <row r="9" spans="1:23" x14ac:dyDescent="0.2">
      <c r="A9" s="26" t="s">
        <v>0</v>
      </c>
      <c r="B9" s="26" t="s">
        <v>45</v>
      </c>
      <c r="C9" s="26" t="s">
        <v>67</v>
      </c>
      <c r="D9" s="26" t="s">
        <v>69</v>
      </c>
      <c r="E9" s="26" t="s">
        <v>70</v>
      </c>
      <c r="F9" s="26" t="s">
        <v>34</v>
      </c>
      <c r="G9" s="26" t="s">
        <v>1</v>
      </c>
      <c r="H9" s="26" t="s">
        <v>37</v>
      </c>
      <c r="I9" s="26" t="s">
        <v>38</v>
      </c>
      <c r="J9" s="26" t="s">
        <v>31</v>
      </c>
      <c r="K9" s="26" t="s">
        <v>68</v>
      </c>
      <c r="L9" s="26" t="s">
        <v>6</v>
      </c>
    </row>
    <row r="10" spans="1:23" s="27" customFormat="1" x14ac:dyDescent="0.2">
      <c r="A10" s="28" t="s">
        <v>7</v>
      </c>
      <c r="B10" s="2" t="s">
        <v>29</v>
      </c>
      <c r="C10" s="30">
        <v>0.5</v>
      </c>
      <c r="D10" s="28">
        <v>2024</v>
      </c>
      <c r="E10" s="28">
        <v>5</v>
      </c>
      <c r="F10" s="15">
        <v>45425</v>
      </c>
      <c r="G10" s="28">
        <v>96.691914999999995</v>
      </c>
      <c r="H10" s="15">
        <v>45609</v>
      </c>
      <c r="I10">
        <v>57.92</v>
      </c>
      <c r="J10">
        <v>30000</v>
      </c>
      <c r="K10" s="28">
        <v>6.7672999999999996</v>
      </c>
      <c r="L10"/>
    </row>
    <row r="11" spans="1:23" s="27" customFormat="1" x14ac:dyDescent="0.2">
      <c r="A11" s="28" t="s">
        <v>7</v>
      </c>
      <c r="B11" s="2" t="s">
        <v>29</v>
      </c>
      <c r="C11" s="30">
        <v>1</v>
      </c>
      <c r="D11" s="28">
        <v>2024</v>
      </c>
      <c r="E11" s="28">
        <v>5</v>
      </c>
      <c r="F11" s="15">
        <v>45425</v>
      </c>
      <c r="G11" s="28">
        <v>93.075073000000003</v>
      </c>
      <c r="H11" s="15">
        <v>45791</v>
      </c>
      <c r="I11">
        <v>32.54</v>
      </c>
      <c r="J11">
        <v>30000</v>
      </c>
      <c r="K11" s="28">
        <v>7.3583999999999996</v>
      </c>
      <c r="L11"/>
    </row>
    <row r="12" spans="1:23" s="27" customFormat="1" x14ac:dyDescent="0.2">
      <c r="A12" s="28" t="s">
        <v>7</v>
      </c>
      <c r="B12" s="2" t="s">
        <v>29</v>
      </c>
      <c r="C12" s="30">
        <v>0.5</v>
      </c>
      <c r="D12" s="28">
        <v>2024</v>
      </c>
      <c r="E12" s="28">
        <v>5</v>
      </c>
      <c r="F12" s="15">
        <v>45432</v>
      </c>
      <c r="G12" s="28">
        <v>96.712950000000006</v>
      </c>
      <c r="H12" s="15">
        <v>45616</v>
      </c>
      <c r="I12">
        <v>46.865000000000002</v>
      </c>
      <c r="J12">
        <v>40000</v>
      </c>
      <c r="K12" s="28">
        <v>6.7228000000000003</v>
      </c>
      <c r="L12"/>
    </row>
    <row r="13" spans="1:23" s="27" customFormat="1" x14ac:dyDescent="0.2">
      <c r="A13" s="28" t="s">
        <v>7</v>
      </c>
      <c r="B13" s="2" t="s">
        <v>29</v>
      </c>
      <c r="C13" s="30">
        <v>0.5</v>
      </c>
      <c r="D13" s="28">
        <v>2024</v>
      </c>
      <c r="E13" s="28">
        <v>5</v>
      </c>
      <c r="F13" s="15">
        <v>45439</v>
      </c>
      <c r="G13" s="28">
        <v>96.714072000000002</v>
      </c>
      <c r="H13" s="15">
        <v>45623</v>
      </c>
      <c r="I13">
        <v>91.933329999999998</v>
      </c>
      <c r="J13">
        <v>15000</v>
      </c>
      <c r="K13" s="28">
        <v>6.7205000000000004</v>
      </c>
      <c r="L13"/>
    </row>
    <row r="14" spans="1:23" s="27" customFormat="1" x14ac:dyDescent="0.2">
      <c r="A14" s="28" t="s">
        <v>7</v>
      </c>
      <c r="B14" t="s">
        <v>30</v>
      </c>
      <c r="C14" s="30" t="s">
        <v>54</v>
      </c>
      <c r="D14" s="28">
        <v>2024</v>
      </c>
      <c r="E14" s="28">
        <v>5</v>
      </c>
      <c r="F14" s="15">
        <v>45439</v>
      </c>
      <c r="G14" s="28">
        <v>95</v>
      </c>
      <c r="H14" s="15">
        <v>46536</v>
      </c>
      <c r="I14">
        <v>90.37</v>
      </c>
      <c r="J14">
        <v>10000</v>
      </c>
      <c r="K14" s="28">
        <v>6.25</v>
      </c>
      <c r="L14">
        <v>8.16</v>
      </c>
    </row>
    <row r="15" spans="1:23" s="27" customFormat="1" x14ac:dyDescent="0.2">
      <c r="A15" s="28" t="s">
        <v>7</v>
      </c>
      <c r="B15" t="s">
        <v>30</v>
      </c>
      <c r="C15" s="30" t="s">
        <v>53</v>
      </c>
      <c r="D15" s="28">
        <v>2024</v>
      </c>
      <c r="E15" s="28">
        <v>5</v>
      </c>
      <c r="F15" s="15">
        <v>45439</v>
      </c>
      <c r="G15" s="28">
        <v>100</v>
      </c>
      <c r="H15" s="15">
        <v>46011</v>
      </c>
      <c r="I15">
        <v>100</v>
      </c>
      <c r="J15">
        <v>44000</v>
      </c>
      <c r="K15" s="28">
        <v>6</v>
      </c>
      <c r="L15">
        <v>4.5999999999999996</v>
      </c>
    </row>
    <row r="16" spans="1:23" s="27" customFormat="1" x14ac:dyDescent="0.2">
      <c r="A16" s="28" t="s">
        <v>7</v>
      </c>
      <c r="B16" t="s">
        <v>30</v>
      </c>
      <c r="C16" s="30" t="s">
        <v>56</v>
      </c>
      <c r="D16" s="28">
        <v>2024</v>
      </c>
      <c r="E16" s="28">
        <v>5</v>
      </c>
      <c r="F16" s="15">
        <v>45439</v>
      </c>
      <c r="G16" s="28">
        <v>97.6892</v>
      </c>
      <c r="H16" s="15">
        <v>46272</v>
      </c>
      <c r="I16">
        <v>75.628600000000006</v>
      </c>
      <c r="J16">
        <v>35000</v>
      </c>
      <c r="K16" s="28">
        <v>4.75</v>
      </c>
      <c r="L16">
        <v>5.99</v>
      </c>
    </row>
    <row r="17" spans="1:12" s="27" customFormat="1" x14ac:dyDescent="0.2">
      <c r="A17" s="28" t="s">
        <v>7</v>
      </c>
      <c r="B17" t="s">
        <v>30</v>
      </c>
      <c r="C17" s="30" t="s">
        <v>55</v>
      </c>
      <c r="D17" s="28">
        <v>2024</v>
      </c>
      <c r="E17" s="28">
        <v>5</v>
      </c>
      <c r="F17" s="15">
        <v>45439</v>
      </c>
      <c r="G17" s="28">
        <v>93.944400000000002</v>
      </c>
      <c r="H17" s="15">
        <v>46462</v>
      </c>
      <c r="I17">
        <v>68.650000000000006</v>
      </c>
      <c r="J17">
        <v>20000</v>
      </c>
      <c r="K17" s="28">
        <v>5.25</v>
      </c>
      <c r="L17">
        <v>7.54</v>
      </c>
    </row>
    <row r="18" spans="1:12" s="27" customFormat="1" x14ac:dyDescent="0.2">
      <c r="A18" s="28" t="s">
        <v>7</v>
      </c>
      <c r="B18" t="s">
        <v>30</v>
      </c>
      <c r="C18" s="30" t="s">
        <v>54</v>
      </c>
      <c r="D18" s="28">
        <v>2024</v>
      </c>
      <c r="E18" s="28">
        <v>5</v>
      </c>
      <c r="F18" s="15">
        <v>45439</v>
      </c>
      <c r="G18" s="28">
        <v>95.5</v>
      </c>
      <c r="H18" s="15">
        <v>46536</v>
      </c>
      <c r="I18">
        <v>100</v>
      </c>
      <c r="J18">
        <v>20000</v>
      </c>
      <c r="K18" s="28">
        <v>6.25</v>
      </c>
      <c r="L18">
        <v>7.97</v>
      </c>
    </row>
    <row r="19" spans="1:12" s="27" customFormat="1" x14ac:dyDescent="0.2">
      <c r="A19" s="28" t="s">
        <v>7</v>
      </c>
      <c r="B19" t="s">
        <v>30</v>
      </c>
      <c r="C19" s="30" t="s">
        <v>53</v>
      </c>
      <c r="D19" s="28">
        <v>2024</v>
      </c>
      <c r="E19" s="28">
        <v>5</v>
      </c>
      <c r="F19" s="15">
        <v>45439</v>
      </c>
      <c r="G19" s="28">
        <v>96.75</v>
      </c>
      <c r="H19" s="15">
        <v>46171</v>
      </c>
      <c r="I19">
        <v>95.185100000000006</v>
      </c>
      <c r="J19">
        <v>47000</v>
      </c>
      <c r="K19" s="28">
        <v>6</v>
      </c>
      <c r="L19">
        <v>7.79</v>
      </c>
    </row>
    <row r="20" spans="1:12" s="27" customFormat="1" x14ac:dyDescent="0.2">
      <c r="A20" s="28" t="s">
        <v>7</v>
      </c>
      <c r="B20" t="s">
        <v>30</v>
      </c>
      <c r="C20" s="30" t="s">
        <v>57</v>
      </c>
      <c r="D20" s="28">
        <v>2024</v>
      </c>
      <c r="E20" s="28">
        <v>5</v>
      </c>
      <c r="F20" s="15">
        <v>45439</v>
      </c>
      <c r="G20" s="28">
        <v>92.75</v>
      </c>
      <c r="H20" s="15">
        <v>47632</v>
      </c>
      <c r="I20">
        <v>17.829999999999998</v>
      </c>
      <c r="J20">
        <v>20000</v>
      </c>
      <c r="K20" s="28">
        <v>7</v>
      </c>
      <c r="L20">
        <v>8.57</v>
      </c>
    </row>
    <row r="21" spans="1:12" s="27" customFormat="1" x14ac:dyDescent="0.2">
      <c r="A21" s="28" t="s">
        <v>7</v>
      </c>
      <c r="B21" t="s">
        <v>30</v>
      </c>
      <c r="C21" s="30" t="s">
        <v>56</v>
      </c>
      <c r="D21" s="28">
        <v>2024</v>
      </c>
      <c r="E21" s="28">
        <v>5</v>
      </c>
      <c r="F21" s="15">
        <v>45439</v>
      </c>
      <c r="G21" s="28">
        <v>94.5</v>
      </c>
      <c r="H21" s="15">
        <v>46902</v>
      </c>
      <c r="I21">
        <v>76.836200000000005</v>
      </c>
      <c r="J21">
        <v>25000</v>
      </c>
      <c r="K21" s="28">
        <v>6.5</v>
      </c>
      <c r="L21">
        <v>8.14</v>
      </c>
    </row>
    <row r="22" spans="1:12" s="27" customFormat="1" x14ac:dyDescent="0.2">
      <c r="A22" s="28" t="s">
        <v>7</v>
      </c>
      <c r="B22" t="s">
        <v>30</v>
      </c>
      <c r="C22" s="30" t="s">
        <v>55</v>
      </c>
      <c r="D22" s="28">
        <v>2024</v>
      </c>
      <c r="E22" s="28">
        <v>5</v>
      </c>
      <c r="F22" s="15">
        <v>45439</v>
      </c>
      <c r="G22" s="28">
        <v>93.5</v>
      </c>
      <c r="H22" s="15">
        <v>47267</v>
      </c>
      <c r="I22">
        <v>20.472000000000001</v>
      </c>
      <c r="J22">
        <v>25000</v>
      </c>
      <c r="K22" s="28">
        <v>6.75</v>
      </c>
      <c r="L22">
        <v>8.3699999999999992</v>
      </c>
    </row>
    <row r="23" spans="1:12" s="27" customFormat="1" x14ac:dyDescent="0.2">
      <c r="A23" s="28" t="s">
        <v>7</v>
      </c>
      <c r="B23" t="s">
        <v>30</v>
      </c>
      <c r="C23" s="30" t="s">
        <v>55</v>
      </c>
      <c r="D23" s="28">
        <v>2024</v>
      </c>
      <c r="E23" s="28">
        <v>5</v>
      </c>
      <c r="F23" s="15">
        <v>45439</v>
      </c>
      <c r="G23" s="28">
        <v>100</v>
      </c>
      <c r="H23" s="15">
        <v>45457</v>
      </c>
      <c r="I23">
        <v>0</v>
      </c>
      <c r="J23">
        <v>30000</v>
      </c>
      <c r="K23" s="28">
        <v>5.6</v>
      </c>
      <c r="L23"/>
    </row>
    <row r="24" spans="1:12" s="27" customFormat="1" x14ac:dyDescent="0.2">
      <c r="A24" s="28" t="s">
        <v>7</v>
      </c>
      <c r="B24" t="s">
        <v>30</v>
      </c>
      <c r="C24" s="30" t="s">
        <v>54</v>
      </c>
      <c r="D24" s="28">
        <v>2024</v>
      </c>
      <c r="E24" s="28">
        <v>5</v>
      </c>
      <c r="F24" s="15">
        <v>45439</v>
      </c>
      <c r="G24" s="28">
        <v>100</v>
      </c>
      <c r="H24" s="15">
        <v>45594</v>
      </c>
      <c r="I24">
        <v>0</v>
      </c>
      <c r="J24">
        <v>23000</v>
      </c>
      <c r="K24" s="28">
        <v>3.7</v>
      </c>
      <c r="L24"/>
    </row>
    <row r="25" spans="1:12" s="27" customFormat="1" x14ac:dyDescent="0.2">
      <c r="A25" s="28" t="s">
        <v>7</v>
      </c>
      <c r="B25" t="s">
        <v>30</v>
      </c>
      <c r="C25" s="30" t="s">
        <v>55</v>
      </c>
      <c r="D25" s="28">
        <v>2024</v>
      </c>
      <c r="E25" s="28">
        <v>5</v>
      </c>
      <c r="F25" s="15">
        <v>45439</v>
      </c>
      <c r="G25" s="28">
        <v>100</v>
      </c>
      <c r="H25" s="15">
        <v>46002</v>
      </c>
      <c r="I25">
        <v>0</v>
      </c>
      <c r="J25">
        <v>16000</v>
      </c>
      <c r="K25" s="28">
        <v>5.5</v>
      </c>
      <c r="L25"/>
    </row>
    <row r="26" spans="1:12" s="27" customFormat="1" x14ac:dyDescent="0.2">
      <c r="A26" s="28" t="s">
        <v>7</v>
      </c>
      <c r="B26" t="s">
        <v>30</v>
      </c>
      <c r="C26" s="30" t="s">
        <v>55</v>
      </c>
      <c r="D26" s="28">
        <v>2024</v>
      </c>
      <c r="E26" s="28">
        <v>5</v>
      </c>
      <c r="F26" s="15">
        <v>45439</v>
      </c>
      <c r="G26" s="28">
        <v>100</v>
      </c>
      <c r="H26" s="15">
        <v>45757</v>
      </c>
      <c r="I26">
        <v>0</v>
      </c>
      <c r="J26">
        <v>30000</v>
      </c>
      <c r="K26" s="28">
        <v>5.7</v>
      </c>
      <c r="L26"/>
    </row>
    <row r="27" spans="1:12" s="27" customFormat="1" x14ac:dyDescent="0.2">
      <c r="A27"/>
      <c r="B27"/>
      <c r="C27"/>
      <c r="D27"/>
      <c r="E27"/>
      <c r="F27"/>
      <c r="G27"/>
      <c r="H27"/>
      <c r="I27"/>
      <c r="J27"/>
      <c r="K27"/>
      <c r="L27"/>
    </row>
    <row r="28" spans="1:12" s="27" customFormat="1" x14ac:dyDescent="0.2">
      <c r="A28"/>
      <c r="B28"/>
      <c r="C28"/>
      <c r="D28"/>
      <c r="E28"/>
      <c r="F28"/>
      <c r="G28"/>
      <c r="H28"/>
      <c r="I28"/>
      <c r="J28"/>
      <c r="K28"/>
      <c r="L28"/>
    </row>
    <row r="29" spans="1:12" s="27" customFormat="1" x14ac:dyDescent="0.2">
      <c r="A29"/>
      <c r="B29"/>
      <c r="C29"/>
      <c r="D29"/>
      <c r="E29"/>
      <c r="F29"/>
      <c r="G29"/>
      <c r="H29"/>
      <c r="I29"/>
      <c r="J29"/>
      <c r="K29"/>
      <c r="L29"/>
    </row>
    <row r="30" spans="1:12" s="27" customFormat="1" x14ac:dyDescent="0.2">
      <c r="A30"/>
      <c r="B30"/>
      <c r="C30"/>
      <c r="D30"/>
      <c r="E30"/>
      <c r="F30"/>
      <c r="G30"/>
      <c r="H30"/>
      <c r="I30"/>
      <c r="J30"/>
      <c r="K30"/>
      <c r="L30"/>
    </row>
    <row r="31" spans="1:12" x14ac:dyDescent="0.2">
      <c r="C31"/>
    </row>
    <row r="32" spans="1:12" x14ac:dyDescent="0.2">
      <c r="C32"/>
    </row>
    <row r="33" spans="3:3" x14ac:dyDescent="0.2">
      <c r="C33"/>
    </row>
    <row r="34" spans="3:3" x14ac:dyDescent="0.2">
      <c r="C34"/>
    </row>
    <row r="35" spans="3:3" x14ac:dyDescent="0.2">
      <c r="C35"/>
    </row>
    <row r="36" spans="3:3" x14ac:dyDescent="0.2">
      <c r="C36"/>
    </row>
    <row r="37" spans="3:3" x14ac:dyDescent="0.2">
      <c r="C37"/>
    </row>
    <row r="38" spans="3:3" x14ac:dyDescent="0.2">
      <c r="C38"/>
    </row>
    <row r="39" spans="3:3" x14ac:dyDescent="0.2">
      <c r="C39"/>
    </row>
    <row r="40" spans="3:3" x14ac:dyDescent="0.2">
      <c r="C40"/>
    </row>
    <row r="41" spans="3:3" x14ac:dyDescent="0.2">
      <c r="C41"/>
    </row>
    <row r="42" spans="3:3" x14ac:dyDescent="0.2">
      <c r="C42"/>
    </row>
    <row r="43" spans="3:3" x14ac:dyDescent="0.2">
      <c r="C43"/>
    </row>
    <row r="44" spans="3:3" x14ac:dyDescent="0.2">
      <c r="C44"/>
    </row>
    <row r="45" spans="3:3" x14ac:dyDescent="0.2">
      <c r="C45"/>
    </row>
    <row r="46" spans="3:3" x14ac:dyDescent="0.2">
      <c r="C46"/>
    </row>
    <row r="47" spans="3:3" x14ac:dyDescent="0.2">
      <c r="C47"/>
    </row>
    <row r="48" spans="3:3" x14ac:dyDescent="0.2">
      <c r="C48"/>
    </row>
    <row r="49" spans="3:3" x14ac:dyDescent="0.2">
      <c r="C49"/>
    </row>
    <row r="50" spans="3:3" x14ac:dyDescent="0.2">
      <c r="C50"/>
    </row>
    <row r="51" spans="3:3" x14ac:dyDescent="0.2">
      <c r="C51"/>
    </row>
    <row r="52" spans="3:3" x14ac:dyDescent="0.2">
      <c r="C52"/>
    </row>
    <row r="53" spans="3:3" x14ac:dyDescent="0.2">
      <c r="C53"/>
    </row>
    <row r="54" spans="3:3" x14ac:dyDescent="0.2">
      <c r="C54"/>
    </row>
    <row r="55" spans="3:3" x14ac:dyDescent="0.2">
      <c r="C55"/>
    </row>
    <row r="56" spans="3:3" x14ac:dyDescent="0.2">
      <c r="C56"/>
    </row>
    <row r="57" spans="3:3" x14ac:dyDescent="0.2">
      <c r="C57"/>
    </row>
    <row r="58" spans="3:3" x14ac:dyDescent="0.2">
      <c r="C58"/>
    </row>
    <row r="59" spans="3:3" x14ac:dyDescent="0.2">
      <c r="C59"/>
    </row>
    <row r="60" spans="3:3" x14ac:dyDescent="0.2">
      <c r="C60"/>
    </row>
    <row r="61" spans="3:3" x14ac:dyDescent="0.2">
      <c r="C61"/>
    </row>
    <row r="62" spans="3:3" x14ac:dyDescent="0.2">
      <c r="C62"/>
    </row>
    <row r="63" spans="3:3" x14ac:dyDescent="0.2">
      <c r="C63"/>
    </row>
    <row r="64" spans="3:3" x14ac:dyDescent="0.2">
      <c r="C64"/>
    </row>
    <row r="65" spans="3:3" x14ac:dyDescent="0.2">
      <c r="C65"/>
    </row>
    <row r="66" spans="3:3" x14ac:dyDescent="0.2">
      <c r="C66"/>
    </row>
    <row r="67" spans="3:3" x14ac:dyDescent="0.2">
      <c r="C67"/>
    </row>
    <row r="68" spans="3:3" x14ac:dyDescent="0.2">
      <c r="C68"/>
    </row>
    <row r="69" spans="3:3" x14ac:dyDescent="0.2">
      <c r="C69"/>
    </row>
    <row r="70" spans="3:3" x14ac:dyDescent="0.2">
      <c r="C70"/>
    </row>
    <row r="71" spans="3:3" x14ac:dyDescent="0.2">
      <c r="C71"/>
    </row>
    <row r="72" spans="3:3" x14ac:dyDescent="0.2">
      <c r="C72"/>
    </row>
    <row r="73" spans="3:3" x14ac:dyDescent="0.2">
      <c r="C73"/>
    </row>
    <row r="74" spans="3:3" x14ac:dyDescent="0.2">
      <c r="C74"/>
    </row>
    <row r="75" spans="3:3" x14ac:dyDescent="0.2">
      <c r="C75"/>
    </row>
    <row r="76" spans="3:3" x14ac:dyDescent="0.2">
      <c r="C76"/>
    </row>
    <row r="77" spans="3:3" x14ac:dyDescent="0.2">
      <c r="C77"/>
    </row>
    <row r="78" spans="3:3" x14ac:dyDescent="0.2">
      <c r="C78"/>
    </row>
    <row r="79" spans="3:3" x14ac:dyDescent="0.2">
      <c r="C79"/>
    </row>
    <row r="80" spans="3:3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  <row r="90" spans="3:3" x14ac:dyDescent="0.2">
      <c r="C90"/>
    </row>
    <row r="91" spans="3:3" x14ac:dyDescent="0.2">
      <c r="C91"/>
    </row>
    <row r="92" spans="3:3" x14ac:dyDescent="0.2">
      <c r="C92"/>
    </row>
    <row r="93" spans="3:3" x14ac:dyDescent="0.2">
      <c r="C93"/>
    </row>
    <row r="94" spans="3:3" x14ac:dyDescent="0.2">
      <c r="C94"/>
    </row>
    <row r="95" spans="3:3" x14ac:dyDescent="0.2">
      <c r="C95"/>
    </row>
    <row r="96" spans="3:3" x14ac:dyDescent="0.2">
      <c r="C96"/>
    </row>
    <row r="97" spans="3:3" x14ac:dyDescent="0.2">
      <c r="C97"/>
    </row>
    <row r="98" spans="3:3" x14ac:dyDescent="0.2">
      <c r="C98"/>
    </row>
    <row r="99" spans="3:3" x14ac:dyDescent="0.2">
      <c r="C99"/>
    </row>
    <row r="100" spans="3:3" x14ac:dyDescent="0.2">
      <c r="C100"/>
    </row>
    <row r="101" spans="3:3" x14ac:dyDescent="0.2">
      <c r="C101"/>
    </row>
    <row r="102" spans="3:3" x14ac:dyDescent="0.2">
      <c r="C102"/>
    </row>
    <row r="103" spans="3:3" x14ac:dyDescent="0.2">
      <c r="C103"/>
    </row>
    <row r="104" spans="3:3" x14ac:dyDescent="0.2">
      <c r="C104"/>
    </row>
    <row r="105" spans="3:3" x14ac:dyDescent="0.2">
      <c r="C105"/>
    </row>
    <row r="106" spans="3:3" x14ac:dyDescent="0.2">
      <c r="C106"/>
    </row>
    <row r="107" spans="3:3" x14ac:dyDescent="0.2">
      <c r="C107"/>
    </row>
    <row r="108" spans="3:3" x14ac:dyDescent="0.2">
      <c r="C108"/>
    </row>
    <row r="109" spans="3:3" x14ac:dyDescent="0.2">
      <c r="C109"/>
    </row>
    <row r="110" spans="3:3" x14ac:dyDescent="0.2">
      <c r="C110"/>
    </row>
    <row r="111" spans="3:3" x14ac:dyDescent="0.2">
      <c r="C111"/>
    </row>
    <row r="112" spans="3:3" x14ac:dyDescent="0.2">
      <c r="C112"/>
    </row>
    <row r="113" spans="3:3" x14ac:dyDescent="0.2">
      <c r="C113"/>
    </row>
    <row r="114" spans="3:3" x14ac:dyDescent="0.2">
      <c r="C114"/>
    </row>
    <row r="115" spans="3:3" x14ac:dyDescent="0.2">
      <c r="C115"/>
    </row>
    <row r="116" spans="3:3" x14ac:dyDescent="0.2">
      <c r="C116"/>
    </row>
    <row r="117" spans="3:3" x14ac:dyDescent="0.2">
      <c r="C117"/>
    </row>
    <row r="118" spans="3:3" x14ac:dyDescent="0.2">
      <c r="C118"/>
    </row>
    <row r="119" spans="3:3" x14ac:dyDescent="0.2">
      <c r="C119"/>
    </row>
    <row r="120" spans="3:3" x14ac:dyDescent="0.2">
      <c r="C120"/>
    </row>
    <row r="121" spans="3:3" x14ac:dyDescent="0.2">
      <c r="C121"/>
    </row>
    <row r="122" spans="3:3" x14ac:dyDescent="0.2">
      <c r="C122"/>
    </row>
    <row r="123" spans="3:3" x14ac:dyDescent="0.2">
      <c r="C123"/>
    </row>
    <row r="124" spans="3:3" x14ac:dyDescent="0.2">
      <c r="C124"/>
    </row>
    <row r="125" spans="3:3" x14ac:dyDescent="0.2">
      <c r="C125"/>
    </row>
    <row r="126" spans="3:3" x14ac:dyDescent="0.2">
      <c r="C126"/>
    </row>
    <row r="127" spans="3:3" x14ac:dyDescent="0.2">
      <c r="C127"/>
    </row>
    <row r="128" spans="3:3" x14ac:dyDescent="0.2">
      <c r="C128"/>
    </row>
    <row r="129" spans="3:3" x14ac:dyDescent="0.2">
      <c r="C129"/>
    </row>
    <row r="130" spans="3:3" x14ac:dyDescent="0.2">
      <c r="C130"/>
    </row>
    <row r="131" spans="3:3" x14ac:dyDescent="0.2">
      <c r="C131"/>
    </row>
    <row r="132" spans="3:3" x14ac:dyDescent="0.2">
      <c r="C132"/>
    </row>
    <row r="133" spans="3:3" x14ac:dyDescent="0.2">
      <c r="C133"/>
    </row>
    <row r="134" spans="3:3" x14ac:dyDescent="0.2">
      <c r="C134"/>
    </row>
    <row r="135" spans="3:3" x14ac:dyDescent="0.2">
      <c r="C135"/>
    </row>
    <row r="136" spans="3:3" x14ac:dyDescent="0.2">
      <c r="C136"/>
    </row>
    <row r="137" spans="3:3" x14ac:dyDescent="0.2">
      <c r="C137"/>
    </row>
    <row r="138" spans="3:3" x14ac:dyDescent="0.2">
      <c r="C138"/>
    </row>
    <row r="139" spans="3:3" x14ac:dyDescent="0.2">
      <c r="C139"/>
    </row>
    <row r="140" spans="3:3" x14ac:dyDescent="0.2">
      <c r="C140"/>
    </row>
    <row r="141" spans="3:3" x14ac:dyDescent="0.2">
      <c r="C141"/>
    </row>
    <row r="142" spans="3:3" x14ac:dyDescent="0.2">
      <c r="C142"/>
    </row>
    <row r="143" spans="3:3" x14ac:dyDescent="0.2">
      <c r="C143"/>
    </row>
    <row r="144" spans="3:3" x14ac:dyDescent="0.2">
      <c r="C144"/>
    </row>
    <row r="145" spans="3:3" x14ac:dyDescent="0.2">
      <c r="C145"/>
    </row>
    <row r="146" spans="3:3" x14ac:dyDescent="0.2">
      <c r="C146"/>
    </row>
    <row r="147" spans="3:3" x14ac:dyDescent="0.2">
      <c r="C147"/>
    </row>
    <row r="148" spans="3:3" x14ac:dyDescent="0.2">
      <c r="C148"/>
    </row>
    <row r="149" spans="3:3" x14ac:dyDescent="0.2">
      <c r="C149"/>
    </row>
    <row r="150" spans="3:3" x14ac:dyDescent="0.2">
      <c r="C150"/>
    </row>
    <row r="151" spans="3:3" x14ac:dyDescent="0.2">
      <c r="C151"/>
    </row>
    <row r="152" spans="3:3" x14ac:dyDescent="0.2">
      <c r="C152"/>
    </row>
    <row r="153" spans="3:3" x14ac:dyDescent="0.2">
      <c r="C153"/>
    </row>
    <row r="154" spans="3:3" x14ac:dyDescent="0.2">
      <c r="C154"/>
    </row>
    <row r="155" spans="3:3" x14ac:dyDescent="0.2">
      <c r="C155"/>
    </row>
    <row r="156" spans="3:3" x14ac:dyDescent="0.2">
      <c r="C156"/>
    </row>
    <row r="157" spans="3:3" x14ac:dyDescent="0.2">
      <c r="C157"/>
    </row>
    <row r="158" spans="3:3" x14ac:dyDescent="0.2">
      <c r="C158"/>
    </row>
    <row r="159" spans="3:3" x14ac:dyDescent="0.2">
      <c r="C159"/>
    </row>
    <row r="160" spans="3:3" x14ac:dyDescent="0.2">
      <c r="C160"/>
    </row>
    <row r="161" spans="3:3" x14ac:dyDescent="0.2">
      <c r="C161"/>
    </row>
    <row r="162" spans="3:3" x14ac:dyDescent="0.2">
      <c r="C162"/>
    </row>
    <row r="163" spans="3:3" x14ac:dyDescent="0.2">
      <c r="C163"/>
    </row>
    <row r="164" spans="3:3" x14ac:dyDescent="0.2">
      <c r="C164"/>
    </row>
    <row r="165" spans="3:3" x14ac:dyDescent="0.2">
      <c r="C165"/>
    </row>
    <row r="166" spans="3:3" x14ac:dyDescent="0.2">
      <c r="C166"/>
    </row>
    <row r="167" spans="3:3" x14ac:dyDescent="0.2">
      <c r="C167"/>
    </row>
    <row r="168" spans="3:3" x14ac:dyDescent="0.2">
      <c r="C168"/>
    </row>
    <row r="169" spans="3:3" x14ac:dyDescent="0.2">
      <c r="C169"/>
    </row>
    <row r="170" spans="3:3" x14ac:dyDescent="0.2">
      <c r="C170"/>
    </row>
    <row r="171" spans="3:3" x14ac:dyDescent="0.2">
      <c r="C171"/>
    </row>
    <row r="172" spans="3:3" x14ac:dyDescent="0.2">
      <c r="C172"/>
    </row>
    <row r="173" spans="3:3" x14ac:dyDescent="0.2">
      <c r="C173"/>
    </row>
    <row r="174" spans="3:3" x14ac:dyDescent="0.2">
      <c r="C174"/>
    </row>
    <row r="175" spans="3:3" x14ac:dyDescent="0.2">
      <c r="C175"/>
    </row>
    <row r="176" spans="3:3" x14ac:dyDescent="0.2">
      <c r="C176"/>
    </row>
    <row r="177" spans="3:3" x14ac:dyDescent="0.2">
      <c r="C177"/>
    </row>
    <row r="178" spans="3:3" x14ac:dyDescent="0.2">
      <c r="C178"/>
    </row>
    <row r="179" spans="3:3" x14ac:dyDescent="0.2">
      <c r="C179"/>
    </row>
    <row r="180" spans="3:3" x14ac:dyDescent="0.2">
      <c r="C180"/>
    </row>
    <row r="181" spans="3:3" x14ac:dyDescent="0.2">
      <c r="C181"/>
    </row>
    <row r="182" spans="3:3" x14ac:dyDescent="0.2">
      <c r="C182"/>
    </row>
    <row r="183" spans="3:3" x14ac:dyDescent="0.2">
      <c r="C183"/>
    </row>
    <row r="184" spans="3:3" x14ac:dyDescent="0.2">
      <c r="C184"/>
    </row>
    <row r="185" spans="3:3" x14ac:dyDescent="0.2">
      <c r="C185"/>
    </row>
    <row r="186" spans="3:3" x14ac:dyDescent="0.2">
      <c r="C186"/>
    </row>
    <row r="187" spans="3:3" x14ac:dyDescent="0.2">
      <c r="C187"/>
    </row>
    <row r="188" spans="3:3" x14ac:dyDescent="0.2">
      <c r="C188"/>
    </row>
    <row r="189" spans="3:3" x14ac:dyDescent="0.2">
      <c r="C189"/>
    </row>
    <row r="190" spans="3:3" x14ac:dyDescent="0.2">
      <c r="C190"/>
    </row>
    <row r="191" spans="3:3" x14ac:dyDescent="0.2">
      <c r="C191"/>
    </row>
    <row r="192" spans="3:3" x14ac:dyDescent="0.2">
      <c r="C192"/>
    </row>
    <row r="193" spans="3:3" x14ac:dyDescent="0.2">
      <c r="C193"/>
    </row>
    <row r="194" spans="3:3" x14ac:dyDescent="0.2">
      <c r="C194"/>
    </row>
    <row r="195" spans="3:3" x14ac:dyDescent="0.2">
      <c r="C195"/>
    </row>
    <row r="196" spans="3:3" x14ac:dyDescent="0.2">
      <c r="C196"/>
    </row>
    <row r="197" spans="3:3" x14ac:dyDescent="0.2">
      <c r="C197"/>
    </row>
    <row r="198" spans="3:3" x14ac:dyDescent="0.2">
      <c r="C198"/>
    </row>
    <row r="199" spans="3:3" x14ac:dyDescent="0.2">
      <c r="C199"/>
    </row>
    <row r="200" spans="3:3" x14ac:dyDescent="0.2">
      <c r="C200"/>
    </row>
    <row r="201" spans="3:3" x14ac:dyDescent="0.2">
      <c r="C201"/>
    </row>
    <row r="202" spans="3:3" x14ac:dyDescent="0.2">
      <c r="C202"/>
    </row>
    <row r="203" spans="3:3" x14ac:dyDescent="0.2">
      <c r="C203"/>
    </row>
    <row r="204" spans="3:3" x14ac:dyDescent="0.2">
      <c r="C204"/>
    </row>
    <row r="205" spans="3:3" x14ac:dyDescent="0.2">
      <c r="C205"/>
    </row>
    <row r="206" spans="3:3" x14ac:dyDescent="0.2">
      <c r="C206"/>
    </row>
    <row r="207" spans="3:3" x14ac:dyDescent="0.2">
      <c r="C207"/>
    </row>
    <row r="208" spans="3:3" x14ac:dyDescent="0.2">
      <c r="C208"/>
    </row>
    <row r="209" spans="3:3" x14ac:dyDescent="0.2">
      <c r="C209"/>
    </row>
    <row r="210" spans="3:3" x14ac:dyDescent="0.2">
      <c r="C210"/>
    </row>
    <row r="211" spans="3:3" x14ac:dyDescent="0.2">
      <c r="C211"/>
    </row>
    <row r="212" spans="3:3" x14ac:dyDescent="0.2">
      <c r="C212"/>
    </row>
    <row r="213" spans="3:3" x14ac:dyDescent="0.2">
      <c r="C213"/>
    </row>
    <row r="214" spans="3:3" x14ac:dyDescent="0.2">
      <c r="C214"/>
    </row>
    <row r="215" spans="3:3" x14ac:dyDescent="0.2">
      <c r="C215"/>
    </row>
    <row r="216" spans="3:3" x14ac:dyDescent="0.2">
      <c r="C216"/>
    </row>
    <row r="217" spans="3:3" x14ac:dyDescent="0.2">
      <c r="C217"/>
    </row>
    <row r="218" spans="3:3" x14ac:dyDescent="0.2">
      <c r="C218"/>
    </row>
    <row r="219" spans="3:3" x14ac:dyDescent="0.2">
      <c r="C219"/>
    </row>
    <row r="220" spans="3:3" x14ac:dyDescent="0.2">
      <c r="C220"/>
    </row>
    <row r="221" spans="3:3" x14ac:dyDescent="0.2">
      <c r="C221"/>
    </row>
    <row r="222" spans="3:3" x14ac:dyDescent="0.2">
      <c r="C222"/>
    </row>
    <row r="223" spans="3:3" x14ac:dyDescent="0.2">
      <c r="C223"/>
    </row>
    <row r="224" spans="3:3" x14ac:dyDescent="0.2">
      <c r="C224"/>
    </row>
    <row r="225" spans="3:3" x14ac:dyDescent="0.2">
      <c r="C225"/>
    </row>
    <row r="226" spans="3:3" x14ac:dyDescent="0.2">
      <c r="C226"/>
    </row>
    <row r="227" spans="3:3" x14ac:dyDescent="0.2">
      <c r="C227"/>
    </row>
    <row r="228" spans="3:3" x14ac:dyDescent="0.2">
      <c r="C228"/>
    </row>
    <row r="229" spans="3:3" x14ac:dyDescent="0.2">
      <c r="C229"/>
    </row>
    <row r="230" spans="3:3" x14ac:dyDescent="0.2">
      <c r="C230"/>
    </row>
    <row r="231" spans="3:3" x14ac:dyDescent="0.2">
      <c r="C231"/>
    </row>
    <row r="232" spans="3:3" x14ac:dyDescent="0.2">
      <c r="C232"/>
    </row>
    <row r="233" spans="3:3" x14ac:dyDescent="0.2">
      <c r="C233"/>
    </row>
    <row r="234" spans="3:3" x14ac:dyDescent="0.2">
      <c r="C234"/>
    </row>
    <row r="235" spans="3:3" x14ac:dyDescent="0.2">
      <c r="C235"/>
    </row>
    <row r="236" spans="3:3" x14ac:dyDescent="0.2">
      <c r="C236"/>
    </row>
    <row r="237" spans="3:3" x14ac:dyDescent="0.2">
      <c r="C237"/>
    </row>
    <row r="238" spans="3:3" x14ac:dyDescent="0.2">
      <c r="C238"/>
    </row>
    <row r="239" spans="3:3" x14ac:dyDescent="0.2">
      <c r="C239"/>
    </row>
    <row r="240" spans="3:3" x14ac:dyDescent="0.2">
      <c r="C240"/>
    </row>
    <row r="241" spans="3:3" x14ac:dyDescent="0.2">
      <c r="C241"/>
    </row>
    <row r="242" spans="3:3" x14ac:dyDescent="0.2">
      <c r="C242"/>
    </row>
    <row r="243" spans="3:3" x14ac:dyDescent="0.2">
      <c r="C243"/>
    </row>
    <row r="244" spans="3:3" x14ac:dyDescent="0.2">
      <c r="C244"/>
    </row>
    <row r="245" spans="3:3" x14ac:dyDescent="0.2">
      <c r="C245"/>
    </row>
    <row r="246" spans="3:3" x14ac:dyDescent="0.2">
      <c r="C246"/>
    </row>
    <row r="247" spans="3:3" x14ac:dyDescent="0.2">
      <c r="C247"/>
    </row>
    <row r="248" spans="3:3" x14ac:dyDescent="0.2">
      <c r="C248"/>
    </row>
    <row r="249" spans="3:3" x14ac:dyDescent="0.2">
      <c r="C249"/>
    </row>
    <row r="250" spans="3:3" x14ac:dyDescent="0.2">
      <c r="C250"/>
    </row>
    <row r="251" spans="3:3" x14ac:dyDescent="0.2">
      <c r="C251"/>
    </row>
    <row r="252" spans="3:3" x14ac:dyDescent="0.2">
      <c r="C252"/>
    </row>
    <row r="253" spans="3:3" x14ac:dyDescent="0.2">
      <c r="C253"/>
    </row>
    <row r="254" spans="3:3" x14ac:dyDescent="0.2">
      <c r="C254"/>
    </row>
    <row r="255" spans="3:3" x14ac:dyDescent="0.2">
      <c r="C255"/>
    </row>
    <row r="256" spans="3:3" x14ac:dyDescent="0.2">
      <c r="C256"/>
    </row>
    <row r="257" spans="3:3" x14ac:dyDescent="0.2">
      <c r="C257"/>
    </row>
    <row r="258" spans="3:3" x14ac:dyDescent="0.2">
      <c r="C258"/>
    </row>
    <row r="259" spans="3:3" x14ac:dyDescent="0.2">
      <c r="C259"/>
    </row>
    <row r="260" spans="3:3" x14ac:dyDescent="0.2">
      <c r="C260"/>
    </row>
    <row r="261" spans="3:3" x14ac:dyDescent="0.2">
      <c r="C261"/>
    </row>
    <row r="262" spans="3:3" x14ac:dyDescent="0.2">
      <c r="C262"/>
    </row>
    <row r="263" spans="3:3" x14ac:dyDescent="0.2">
      <c r="C263"/>
    </row>
    <row r="264" spans="3:3" x14ac:dyDescent="0.2">
      <c r="C264"/>
    </row>
    <row r="265" spans="3:3" x14ac:dyDescent="0.2">
      <c r="C265"/>
    </row>
    <row r="266" spans="3:3" x14ac:dyDescent="0.2">
      <c r="C266"/>
    </row>
    <row r="267" spans="3:3" x14ac:dyDescent="0.2">
      <c r="C267"/>
    </row>
    <row r="268" spans="3:3" x14ac:dyDescent="0.2">
      <c r="C268"/>
    </row>
    <row r="269" spans="3:3" x14ac:dyDescent="0.2">
      <c r="C269"/>
    </row>
    <row r="270" spans="3:3" x14ac:dyDescent="0.2">
      <c r="C270"/>
    </row>
    <row r="271" spans="3:3" x14ac:dyDescent="0.2">
      <c r="C271"/>
    </row>
    <row r="272" spans="3:3" x14ac:dyDescent="0.2">
      <c r="C272"/>
    </row>
    <row r="273" spans="3:3" x14ac:dyDescent="0.2">
      <c r="C273"/>
    </row>
    <row r="274" spans="3:3" x14ac:dyDescent="0.2">
      <c r="C274"/>
    </row>
    <row r="275" spans="3:3" x14ac:dyDescent="0.2">
      <c r="C275"/>
    </row>
    <row r="276" spans="3:3" x14ac:dyDescent="0.2">
      <c r="C276"/>
    </row>
    <row r="277" spans="3:3" x14ac:dyDescent="0.2">
      <c r="C277"/>
    </row>
    <row r="278" spans="3:3" x14ac:dyDescent="0.2">
      <c r="C278"/>
    </row>
    <row r="279" spans="3:3" x14ac:dyDescent="0.2">
      <c r="C279"/>
    </row>
    <row r="280" spans="3:3" x14ac:dyDescent="0.2">
      <c r="C280"/>
    </row>
    <row r="281" spans="3:3" x14ac:dyDescent="0.2">
      <c r="C281"/>
    </row>
    <row r="282" spans="3:3" x14ac:dyDescent="0.2">
      <c r="C282"/>
    </row>
    <row r="283" spans="3:3" x14ac:dyDescent="0.2">
      <c r="C283"/>
    </row>
    <row r="284" spans="3:3" x14ac:dyDescent="0.2">
      <c r="C284"/>
    </row>
    <row r="285" spans="3:3" x14ac:dyDescent="0.2">
      <c r="C285"/>
    </row>
    <row r="286" spans="3:3" x14ac:dyDescent="0.2">
      <c r="C286"/>
    </row>
    <row r="287" spans="3:3" x14ac:dyDescent="0.2">
      <c r="C287"/>
    </row>
    <row r="288" spans="3:3" x14ac:dyDescent="0.2">
      <c r="C288"/>
    </row>
    <row r="289" spans="3:3" x14ac:dyDescent="0.2">
      <c r="C289"/>
    </row>
    <row r="290" spans="3:3" x14ac:dyDescent="0.2">
      <c r="C290"/>
    </row>
    <row r="291" spans="3:3" x14ac:dyDescent="0.2">
      <c r="C291"/>
    </row>
    <row r="292" spans="3:3" x14ac:dyDescent="0.2">
      <c r="C292"/>
    </row>
    <row r="293" spans="3:3" x14ac:dyDescent="0.2">
      <c r="C293"/>
    </row>
    <row r="294" spans="3:3" x14ac:dyDescent="0.2">
      <c r="C294"/>
    </row>
    <row r="295" spans="3:3" x14ac:dyDescent="0.2">
      <c r="C295"/>
    </row>
    <row r="296" spans="3:3" x14ac:dyDescent="0.2">
      <c r="C296"/>
    </row>
    <row r="297" spans="3:3" x14ac:dyDescent="0.2">
      <c r="C297"/>
    </row>
    <row r="298" spans="3:3" x14ac:dyDescent="0.2">
      <c r="C298"/>
    </row>
    <row r="299" spans="3:3" x14ac:dyDescent="0.2">
      <c r="C299"/>
    </row>
    <row r="300" spans="3:3" x14ac:dyDescent="0.2">
      <c r="C300"/>
    </row>
    <row r="301" spans="3:3" x14ac:dyDescent="0.2">
      <c r="C301"/>
    </row>
    <row r="302" spans="3:3" x14ac:dyDescent="0.2">
      <c r="C302"/>
    </row>
    <row r="303" spans="3:3" x14ac:dyDescent="0.2">
      <c r="C303"/>
    </row>
    <row r="304" spans="3:3" x14ac:dyDescent="0.2">
      <c r="C304"/>
    </row>
    <row r="305" spans="3:3" x14ac:dyDescent="0.2">
      <c r="C305"/>
    </row>
    <row r="306" spans="3:3" x14ac:dyDescent="0.2">
      <c r="C306"/>
    </row>
    <row r="307" spans="3:3" x14ac:dyDescent="0.2">
      <c r="C307"/>
    </row>
    <row r="308" spans="3:3" x14ac:dyDescent="0.2">
      <c r="C308"/>
    </row>
    <row r="309" spans="3:3" x14ac:dyDescent="0.2">
      <c r="C309"/>
    </row>
    <row r="310" spans="3:3" x14ac:dyDescent="0.2">
      <c r="C310"/>
    </row>
    <row r="311" spans="3:3" x14ac:dyDescent="0.2">
      <c r="C311"/>
    </row>
    <row r="312" spans="3:3" x14ac:dyDescent="0.2">
      <c r="C312"/>
    </row>
    <row r="313" spans="3:3" x14ac:dyDescent="0.2">
      <c r="C313"/>
    </row>
    <row r="314" spans="3:3" x14ac:dyDescent="0.2">
      <c r="C314"/>
    </row>
    <row r="315" spans="3:3" x14ac:dyDescent="0.2">
      <c r="C315"/>
    </row>
    <row r="316" spans="3:3" x14ac:dyDescent="0.2">
      <c r="C316"/>
    </row>
    <row r="317" spans="3:3" x14ac:dyDescent="0.2">
      <c r="C317"/>
    </row>
    <row r="318" spans="3:3" x14ac:dyDescent="0.2">
      <c r="C318"/>
    </row>
    <row r="319" spans="3:3" x14ac:dyDescent="0.2">
      <c r="C319"/>
    </row>
    <row r="320" spans="3:3" x14ac:dyDescent="0.2">
      <c r="C320"/>
    </row>
    <row r="321" spans="3:3" x14ac:dyDescent="0.2">
      <c r="C321"/>
    </row>
    <row r="322" spans="3:3" x14ac:dyDescent="0.2">
      <c r="C322"/>
    </row>
    <row r="323" spans="3:3" x14ac:dyDescent="0.2">
      <c r="C323"/>
    </row>
    <row r="324" spans="3:3" x14ac:dyDescent="0.2">
      <c r="C324"/>
    </row>
    <row r="325" spans="3:3" x14ac:dyDescent="0.2">
      <c r="C325"/>
    </row>
    <row r="326" spans="3:3" x14ac:dyDescent="0.2">
      <c r="C326"/>
    </row>
    <row r="327" spans="3:3" x14ac:dyDescent="0.2">
      <c r="C327"/>
    </row>
    <row r="328" spans="3:3" x14ac:dyDescent="0.2">
      <c r="C328"/>
    </row>
    <row r="329" spans="3:3" x14ac:dyDescent="0.2">
      <c r="C329"/>
    </row>
    <row r="330" spans="3:3" x14ac:dyDescent="0.2">
      <c r="C330"/>
    </row>
    <row r="331" spans="3:3" x14ac:dyDescent="0.2">
      <c r="C331"/>
    </row>
    <row r="332" spans="3:3" x14ac:dyDescent="0.2">
      <c r="C332"/>
    </row>
    <row r="333" spans="3:3" x14ac:dyDescent="0.2">
      <c r="C333"/>
    </row>
    <row r="334" spans="3:3" x14ac:dyDescent="0.2">
      <c r="C334"/>
    </row>
    <row r="335" spans="3:3" x14ac:dyDescent="0.2">
      <c r="C335"/>
    </row>
    <row r="336" spans="3:3" x14ac:dyDescent="0.2">
      <c r="C336"/>
    </row>
    <row r="337" spans="3:3" x14ac:dyDescent="0.2">
      <c r="C337"/>
    </row>
    <row r="338" spans="3:3" x14ac:dyDescent="0.2">
      <c r="C338"/>
    </row>
    <row r="339" spans="3:3" x14ac:dyDescent="0.2">
      <c r="C339"/>
    </row>
    <row r="340" spans="3:3" x14ac:dyDescent="0.2">
      <c r="C340"/>
    </row>
    <row r="341" spans="3:3" x14ac:dyDescent="0.2">
      <c r="C341"/>
    </row>
    <row r="342" spans="3:3" x14ac:dyDescent="0.2">
      <c r="C342"/>
    </row>
    <row r="343" spans="3:3" x14ac:dyDescent="0.2">
      <c r="C343"/>
    </row>
    <row r="344" spans="3:3" x14ac:dyDescent="0.2">
      <c r="C344"/>
    </row>
    <row r="345" spans="3:3" x14ac:dyDescent="0.2">
      <c r="C345"/>
    </row>
    <row r="346" spans="3:3" x14ac:dyDescent="0.2">
      <c r="C346"/>
    </row>
    <row r="347" spans="3:3" x14ac:dyDescent="0.2">
      <c r="C347"/>
    </row>
    <row r="348" spans="3:3" x14ac:dyDescent="0.2">
      <c r="C348"/>
    </row>
    <row r="349" spans="3:3" x14ac:dyDescent="0.2">
      <c r="C349"/>
    </row>
    <row r="350" spans="3:3" x14ac:dyDescent="0.2">
      <c r="C350"/>
    </row>
    <row r="351" spans="3:3" x14ac:dyDescent="0.2">
      <c r="C351"/>
    </row>
    <row r="352" spans="3:3" x14ac:dyDescent="0.2">
      <c r="C352"/>
    </row>
    <row r="353" spans="3:3" x14ac:dyDescent="0.2">
      <c r="C353"/>
    </row>
    <row r="354" spans="3:3" x14ac:dyDescent="0.2">
      <c r="C354"/>
    </row>
    <row r="355" spans="3:3" x14ac:dyDescent="0.2">
      <c r="C355"/>
    </row>
    <row r="356" spans="3:3" x14ac:dyDescent="0.2">
      <c r="C356"/>
    </row>
    <row r="357" spans="3:3" x14ac:dyDescent="0.2">
      <c r="C357"/>
    </row>
    <row r="358" spans="3:3" x14ac:dyDescent="0.2">
      <c r="C358"/>
    </row>
    <row r="359" spans="3:3" x14ac:dyDescent="0.2">
      <c r="C359"/>
    </row>
    <row r="360" spans="3:3" x14ac:dyDescent="0.2">
      <c r="C360"/>
    </row>
    <row r="361" spans="3:3" x14ac:dyDescent="0.2">
      <c r="C361"/>
    </row>
    <row r="362" spans="3:3" x14ac:dyDescent="0.2">
      <c r="C362"/>
    </row>
    <row r="363" spans="3:3" x14ac:dyDescent="0.2">
      <c r="C363"/>
    </row>
    <row r="364" spans="3:3" x14ac:dyDescent="0.2">
      <c r="C364"/>
    </row>
    <row r="365" spans="3:3" x14ac:dyDescent="0.2">
      <c r="C365"/>
    </row>
    <row r="366" spans="3:3" x14ac:dyDescent="0.2">
      <c r="C366"/>
    </row>
    <row r="367" spans="3:3" x14ac:dyDescent="0.2">
      <c r="C367"/>
    </row>
    <row r="368" spans="3:3" x14ac:dyDescent="0.2">
      <c r="C368"/>
    </row>
    <row r="369" spans="3:3" x14ac:dyDescent="0.2">
      <c r="C369"/>
    </row>
    <row r="370" spans="3:3" x14ac:dyDescent="0.2">
      <c r="C370"/>
    </row>
    <row r="371" spans="3:3" x14ac:dyDescent="0.2">
      <c r="C371"/>
    </row>
    <row r="372" spans="3:3" x14ac:dyDescent="0.2">
      <c r="C372"/>
    </row>
    <row r="373" spans="3:3" x14ac:dyDescent="0.2">
      <c r="C373"/>
    </row>
    <row r="374" spans="3:3" x14ac:dyDescent="0.2">
      <c r="C374"/>
    </row>
    <row r="375" spans="3:3" x14ac:dyDescent="0.2">
      <c r="C375"/>
    </row>
    <row r="376" spans="3:3" x14ac:dyDescent="0.2">
      <c r="C376"/>
    </row>
    <row r="377" spans="3:3" x14ac:dyDescent="0.2">
      <c r="C377"/>
    </row>
    <row r="378" spans="3:3" x14ac:dyDescent="0.2">
      <c r="C378"/>
    </row>
    <row r="379" spans="3:3" x14ac:dyDescent="0.2">
      <c r="C379"/>
    </row>
    <row r="380" spans="3:3" x14ac:dyDescent="0.2">
      <c r="C380"/>
    </row>
    <row r="381" spans="3:3" x14ac:dyDescent="0.2">
      <c r="C381"/>
    </row>
    <row r="382" spans="3:3" x14ac:dyDescent="0.2">
      <c r="C382"/>
    </row>
    <row r="383" spans="3:3" x14ac:dyDescent="0.2">
      <c r="C383"/>
    </row>
    <row r="384" spans="3:3" x14ac:dyDescent="0.2">
      <c r="C384"/>
    </row>
    <row r="385" spans="3:3" x14ac:dyDescent="0.2">
      <c r="C385"/>
    </row>
    <row r="386" spans="3:3" x14ac:dyDescent="0.2">
      <c r="C386"/>
    </row>
    <row r="387" spans="3:3" x14ac:dyDescent="0.2">
      <c r="C387"/>
    </row>
    <row r="388" spans="3:3" x14ac:dyDescent="0.2">
      <c r="C388"/>
    </row>
    <row r="389" spans="3:3" x14ac:dyDescent="0.2">
      <c r="C389"/>
    </row>
    <row r="390" spans="3:3" x14ac:dyDescent="0.2">
      <c r="C390"/>
    </row>
    <row r="391" spans="3:3" x14ac:dyDescent="0.2">
      <c r="C391"/>
    </row>
    <row r="392" spans="3:3" x14ac:dyDescent="0.2">
      <c r="C392"/>
    </row>
    <row r="393" spans="3:3" x14ac:dyDescent="0.2">
      <c r="C393"/>
    </row>
    <row r="394" spans="3:3" x14ac:dyDescent="0.2">
      <c r="C394"/>
    </row>
    <row r="395" spans="3:3" x14ac:dyDescent="0.2">
      <c r="C395"/>
    </row>
    <row r="396" spans="3:3" x14ac:dyDescent="0.2">
      <c r="C396"/>
    </row>
    <row r="397" spans="3:3" x14ac:dyDescent="0.2">
      <c r="C397"/>
    </row>
    <row r="398" spans="3:3" x14ac:dyDescent="0.2">
      <c r="C398"/>
    </row>
    <row r="399" spans="3:3" x14ac:dyDescent="0.2">
      <c r="C399"/>
    </row>
    <row r="400" spans="3:3" x14ac:dyDescent="0.2">
      <c r="C400"/>
    </row>
    <row r="401" spans="3:3" x14ac:dyDescent="0.2">
      <c r="C401"/>
    </row>
    <row r="402" spans="3:3" x14ac:dyDescent="0.2">
      <c r="C402"/>
    </row>
    <row r="403" spans="3:3" x14ac:dyDescent="0.2">
      <c r="C403"/>
    </row>
    <row r="404" spans="3:3" x14ac:dyDescent="0.2">
      <c r="C404"/>
    </row>
    <row r="405" spans="3:3" x14ac:dyDescent="0.2">
      <c r="C405"/>
    </row>
    <row r="406" spans="3:3" x14ac:dyDescent="0.2">
      <c r="C406"/>
    </row>
    <row r="407" spans="3:3" x14ac:dyDescent="0.2">
      <c r="C407"/>
    </row>
    <row r="408" spans="3:3" x14ac:dyDescent="0.2">
      <c r="C408"/>
    </row>
    <row r="409" spans="3:3" x14ac:dyDescent="0.2">
      <c r="C409"/>
    </row>
    <row r="410" spans="3:3" x14ac:dyDescent="0.2">
      <c r="C410"/>
    </row>
    <row r="411" spans="3:3" x14ac:dyDescent="0.2">
      <c r="C411"/>
    </row>
    <row r="412" spans="3:3" x14ac:dyDescent="0.2">
      <c r="C412"/>
    </row>
    <row r="413" spans="3:3" x14ac:dyDescent="0.2">
      <c r="C413"/>
    </row>
    <row r="414" spans="3:3" x14ac:dyDescent="0.2">
      <c r="C414"/>
    </row>
    <row r="415" spans="3:3" x14ac:dyDescent="0.2">
      <c r="C415"/>
    </row>
    <row r="416" spans="3:3" x14ac:dyDescent="0.2">
      <c r="C416"/>
    </row>
    <row r="417" spans="3:3" x14ac:dyDescent="0.2">
      <c r="C417"/>
    </row>
    <row r="418" spans="3:3" x14ac:dyDescent="0.2">
      <c r="C418"/>
    </row>
    <row r="419" spans="3:3" x14ac:dyDescent="0.2">
      <c r="C419"/>
    </row>
    <row r="420" spans="3:3" x14ac:dyDescent="0.2">
      <c r="C420"/>
    </row>
    <row r="421" spans="3:3" x14ac:dyDescent="0.2">
      <c r="C421"/>
    </row>
    <row r="422" spans="3:3" x14ac:dyDescent="0.2">
      <c r="C422"/>
    </row>
    <row r="423" spans="3:3" x14ac:dyDescent="0.2">
      <c r="C423"/>
    </row>
    <row r="424" spans="3:3" x14ac:dyDescent="0.2">
      <c r="C424"/>
    </row>
    <row r="425" spans="3:3" x14ac:dyDescent="0.2">
      <c r="C425"/>
    </row>
    <row r="426" spans="3:3" x14ac:dyDescent="0.2">
      <c r="C426"/>
    </row>
    <row r="427" spans="3:3" x14ac:dyDescent="0.2">
      <c r="C427"/>
    </row>
    <row r="428" spans="3:3" x14ac:dyDescent="0.2">
      <c r="C428"/>
    </row>
    <row r="429" spans="3:3" x14ac:dyDescent="0.2">
      <c r="C429"/>
    </row>
    <row r="430" spans="3:3" x14ac:dyDescent="0.2">
      <c r="C430"/>
    </row>
    <row r="431" spans="3:3" x14ac:dyDescent="0.2">
      <c r="C431"/>
    </row>
    <row r="432" spans="3:3" x14ac:dyDescent="0.2">
      <c r="C432"/>
    </row>
    <row r="433" spans="3:3" x14ac:dyDescent="0.2">
      <c r="C433"/>
    </row>
    <row r="434" spans="3:3" x14ac:dyDescent="0.2">
      <c r="C434"/>
    </row>
    <row r="435" spans="3:3" x14ac:dyDescent="0.2">
      <c r="C435"/>
    </row>
    <row r="436" spans="3:3" x14ac:dyDescent="0.2">
      <c r="C436"/>
    </row>
    <row r="437" spans="3:3" x14ac:dyDescent="0.2">
      <c r="C437"/>
    </row>
    <row r="438" spans="3:3" x14ac:dyDescent="0.2">
      <c r="C438"/>
    </row>
    <row r="439" spans="3:3" x14ac:dyDescent="0.2">
      <c r="C439"/>
    </row>
    <row r="440" spans="3:3" x14ac:dyDescent="0.2">
      <c r="C440"/>
    </row>
    <row r="441" spans="3:3" x14ac:dyDescent="0.2">
      <c r="C441"/>
    </row>
    <row r="442" spans="3:3" x14ac:dyDescent="0.2">
      <c r="C442"/>
    </row>
    <row r="443" spans="3:3" x14ac:dyDescent="0.2">
      <c r="C443"/>
    </row>
    <row r="444" spans="3:3" x14ac:dyDescent="0.2">
      <c r="C444"/>
    </row>
    <row r="445" spans="3:3" x14ac:dyDescent="0.2">
      <c r="C445"/>
    </row>
    <row r="446" spans="3:3" x14ac:dyDescent="0.2">
      <c r="C446"/>
    </row>
    <row r="447" spans="3:3" x14ac:dyDescent="0.2">
      <c r="C447"/>
    </row>
    <row r="448" spans="3:3" x14ac:dyDescent="0.2">
      <c r="C448"/>
    </row>
    <row r="449" spans="3:3" x14ac:dyDescent="0.2">
      <c r="C449"/>
    </row>
    <row r="450" spans="3:3" x14ac:dyDescent="0.2">
      <c r="C450"/>
    </row>
    <row r="451" spans="3:3" x14ac:dyDescent="0.2">
      <c r="C451"/>
    </row>
    <row r="452" spans="3:3" x14ac:dyDescent="0.2">
      <c r="C452"/>
    </row>
    <row r="453" spans="3:3" x14ac:dyDescent="0.2">
      <c r="C453"/>
    </row>
    <row r="454" spans="3:3" x14ac:dyDescent="0.2">
      <c r="C454"/>
    </row>
    <row r="455" spans="3:3" x14ac:dyDescent="0.2">
      <c r="C455"/>
    </row>
    <row r="456" spans="3:3" x14ac:dyDescent="0.2">
      <c r="C456"/>
    </row>
    <row r="457" spans="3:3" x14ac:dyDescent="0.2">
      <c r="C457"/>
    </row>
    <row r="458" spans="3:3" x14ac:dyDescent="0.2">
      <c r="C458"/>
    </row>
    <row r="459" spans="3:3" x14ac:dyDescent="0.2">
      <c r="C459"/>
    </row>
    <row r="460" spans="3:3" x14ac:dyDescent="0.2">
      <c r="C460"/>
    </row>
    <row r="461" spans="3:3" x14ac:dyDescent="0.2">
      <c r="C461"/>
    </row>
    <row r="462" spans="3:3" x14ac:dyDescent="0.2">
      <c r="C462"/>
    </row>
    <row r="463" spans="3:3" x14ac:dyDescent="0.2">
      <c r="C463"/>
    </row>
    <row r="464" spans="3:3" x14ac:dyDescent="0.2">
      <c r="C464"/>
    </row>
    <row r="465" spans="3:3" x14ac:dyDescent="0.2">
      <c r="C465"/>
    </row>
    <row r="466" spans="3:3" x14ac:dyDescent="0.2">
      <c r="C466"/>
    </row>
    <row r="467" spans="3:3" x14ac:dyDescent="0.2">
      <c r="C467"/>
    </row>
    <row r="468" spans="3:3" x14ac:dyDescent="0.2">
      <c r="C468"/>
    </row>
    <row r="469" spans="3:3" x14ac:dyDescent="0.2">
      <c r="C469"/>
    </row>
    <row r="470" spans="3:3" x14ac:dyDescent="0.2">
      <c r="C470"/>
    </row>
    <row r="471" spans="3:3" x14ac:dyDescent="0.2">
      <c r="C471"/>
    </row>
    <row r="472" spans="3:3" x14ac:dyDescent="0.2">
      <c r="C472"/>
    </row>
    <row r="473" spans="3:3" x14ac:dyDescent="0.2">
      <c r="C473"/>
    </row>
    <row r="474" spans="3:3" x14ac:dyDescent="0.2">
      <c r="C474"/>
    </row>
    <row r="475" spans="3:3" x14ac:dyDescent="0.2">
      <c r="C475"/>
    </row>
    <row r="476" spans="3:3" x14ac:dyDescent="0.2">
      <c r="C476"/>
    </row>
    <row r="477" spans="3:3" x14ac:dyDescent="0.2">
      <c r="C477"/>
    </row>
    <row r="478" spans="3:3" x14ac:dyDescent="0.2">
      <c r="C478"/>
    </row>
    <row r="479" spans="3:3" x14ac:dyDescent="0.2">
      <c r="C479"/>
    </row>
    <row r="480" spans="3:3" x14ac:dyDescent="0.2">
      <c r="C480"/>
    </row>
    <row r="481" spans="3:3" x14ac:dyDescent="0.2">
      <c r="C481"/>
    </row>
    <row r="482" spans="3:3" x14ac:dyDescent="0.2">
      <c r="C482"/>
    </row>
    <row r="483" spans="3:3" x14ac:dyDescent="0.2">
      <c r="C483"/>
    </row>
    <row r="484" spans="3:3" x14ac:dyDescent="0.2">
      <c r="C484"/>
    </row>
    <row r="485" spans="3:3" x14ac:dyDescent="0.2">
      <c r="C485"/>
    </row>
    <row r="486" spans="3:3" x14ac:dyDescent="0.2">
      <c r="C486"/>
    </row>
    <row r="487" spans="3:3" x14ac:dyDescent="0.2">
      <c r="C487"/>
    </row>
    <row r="488" spans="3:3" x14ac:dyDescent="0.2">
      <c r="C488"/>
    </row>
    <row r="489" spans="3:3" x14ac:dyDescent="0.2">
      <c r="C489"/>
    </row>
    <row r="490" spans="3:3" x14ac:dyDescent="0.2">
      <c r="C490"/>
    </row>
    <row r="491" spans="3:3" x14ac:dyDescent="0.2">
      <c r="C491"/>
    </row>
    <row r="492" spans="3:3" x14ac:dyDescent="0.2">
      <c r="C492"/>
    </row>
    <row r="493" spans="3:3" x14ac:dyDescent="0.2">
      <c r="C493"/>
    </row>
    <row r="494" spans="3:3" x14ac:dyDescent="0.2">
      <c r="C494"/>
    </row>
    <row r="495" spans="3:3" x14ac:dyDescent="0.2">
      <c r="C495"/>
    </row>
    <row r="496" spans="3:3" x14ac:dyDescent="0.2">
      <c r="C496"/>
    </row>
    <row r="497" spans="3:3" x14ac:dyDescent="0.2">
      <c r="C497"/>
    </row>
    <row r="498" spans="3:3" x14ac:dyDescent="0.2">
      <c r="C498"/>
    </row>
    <row r="499" spans="3:3" x14ac:dyDescent="0.2">
      <c r="C499"/>
    </row>
    <row r="500" spans="3:3" x14ac:dyDescent="0.2">
      <c r="C500"/>
    </row>
    <row r="501" spans="3:3" x14ac:dyDescent="0.2">
      <c r="C501"/>
    </row>
    <row r="502" spans="3:3" x14ac:dyDescent="0.2">
      <c r="C502"/>
    </row>
    <row r="503" spans="3:3" x14ac:dyDescent="0.2">
      <c r="C503"/>
    </row>
    <row r="504" spans="3:3" x14ac:dyDescent="0.2">
      <c r="C504"/>
    </row>
    <row r="505" spans="3:3" x14ac:dyDescent="0.2">
      <c r="C505"/>
    </row>
    <row r="506" spans="3:3" x14ac:dyDescent="0.2">
      <c r="C506"/>
    </row>
    <row r="507" spans="3:3" x14ac:dyDescent="0.2">
      <c r="C507"/>
    </row>
    <row r="508" spans="3:3" x14ac:dyDescent="0.2">
      <c r="C508"/>
    </row>
    <row r="509" spans="3:3" x14ac:dyDescent="0.2">
      <c r="C509"/>
    </row>
    <row r="510" spans="3:3" x14ac:dyDescent="0.2">
      <c r="C510"/>
    </row>
    <row r="511" spans="3:3" x14ac:dyDescent="0.2">
      <c r="C511"/>
    </row>
    <row r="512" spans="3:3" x14ac:dyDescent="0.2">
      <c r="C512"/>
    </row>
    <row r="513" spans="3:3" x14ac:dyDescent="0.2">
      <c r="C513"/>
    </row>
    <row r="514" spans="3:3" x14ac:dyDescent="0.2">
      <c r="C514"/>
    </row>
    <row r="515" spans="3:3" x14ac:dyDescent="0.2">
      <c r="C515"/>
    </row>
    <row r="516" spans="3:3" x14ac:dyDescent="0.2">
      <c r="C516"/>
    </row>
    <row r="517" spans="3:3" x14ac:dyDescent="0.2">
      <c r="C517"/>
    </row>
    <row r="518" spans="3:3" x14ac:dyDescent="0.2">
      <c r="C518"/>
    </row>
    <row r="519" spans="3:3" x14ac:dyDescent="0.2">
      <c r="C519"/>
    </row>
    <row r="520" spans="3:3" x14ac:dyDescent="0.2">
      <c r="C520"/>
    </row>
    <row r="521" spans="3:3" x14ac:dyDescent="0.2">
      <c r="C521"/>
    </row>
    <row r="522" spans="3:3" x14ac:dyDescent="0.2">
      <c r="C522"/>
    </row>
    <row r="523" spans="3:3" x14ac:dyDescent="0.2">
      <c r="C523"/>
    </row>
    <row r="524" spans="3:3" x14ac:dyDescent="0.2">
      <c r="C524"/>
    </row>
    <row r="525" spans="3:3" x14ac:dyDescent="0.2">
      <c r="C525"/>
    </row>
    <row r="526" spans="3:3" x14ac:dyDescent="0.2">
      <c r="C526"/>
    </row>
    <row r="527" spans="3:3" x14ac:dyDescent="0.2">
      <c r="C527"/>
    </row>
    <row r="528" spans="3:3" x14ac:dyDescent="0.2">
      <c r="C528"/>
    </row>
    <row r="529" spans="3:3" x14ac:dyDescent="0.2">
      <c r="C529"/>
    </row>
    <row r="530" spans="3:3" x14ac:dyDescent="0.2">
      <c r="C530"/>
    </row>
    <row r="531" spans="3:3" x14ac:dyDescent="0.2">
      <c r="C531"/>
    </row>
    <row r="532" spans="3:3" x14ac:dyDescent="0.2">
      <c r="C532"/>
    </row>
    <row r="533" spans="3:3" x14ac:dyDescent="0.2">
      <c r="C533"/>
    </row>
    <row r="534" spans="3:3" x14ac:dyDescent="0.2">
      <c r="C534"/>
    </row>
    <row r="535" spans="3:3" x14ac:dyDescent="0.2">
      <c r="C535"/>
    </row>
    <row r="536" spans="3:3" x14ac:dyDescent="0.2">
      <c r="C536"/>
    </row>
    <row r="537" spans="3:3" x14ac:dyDescent="0.2">
      <c r="C537"/>
    </row>
    <row r="538" spans="3:3" x14ac:dyDescent="0.2">
      <c r="C538"/>
    </row>
    <row r="539" spans="3:3" x14ac:dyDescent="0.2">
      <c r="C539"/>
    </row>
    <row r="540" spans="3:3" x14ac:dyDescent="0.2">
      <c r="C540"/>
    </row>
    <row r="541" spans="3:3" x14ac:dyDescent="0.2">
      <c r="C541"/>
    </row>
    <row r="542" spans="3:3" x14ac:dyDescent="0.2">
      <c r="C542"/>
    </row>
    <row r="543" spans="3:3" x14ac:dyDescent="0.2">
      <c r="C543"/>
    </row>
    <row r="544" spans="3:3" x14ac:dyDescent="0.2">
      <c r="C544"/>
    </row>
    <row r="545" spans="3:3" x14ac:dyDescent="0.2">
      <c r="C545"/>
    </row>
    <row r="546" spans="3:3" x14ac:dyDescent="0.2">
      <c r="C546"/>
    </row>
    <row r="547" spans="3:3" x14ac:dyDescent="0.2">
      <c r="C547"/>
    </row>
    <row r="548" spans="3:3" x14ac:dyDescent="0.2">
      <c r="C548"/>
    </row>
    <row r="549" spans="3:3" x14ac:dyDescent="0.2">
      <c r="C549"/>
    </row>
    <row r="550" spans="3:3" x14ac:dyDescent="0.2">
      <c r="C550"/>
    </row>
    <row r="551" spans="3:3" x14ac:dyDescent="0.2">
      <c r="C551"/>
    </row>
    <row r="552" spans="3:3" x14ac:dyDescent="0.2">
      <c r="C552"/>
    </row>
    <row r="553" spans="3:3" x14ac:dyDescent="0.2">
      <c r="C553"/>
    </row>
    <row r="554" spans="3:3" x14ac:dyDescent="0.2">
      <c r="C554"/>
    </row>
    <row r="555" spans="3:3" x14ac:dyDescent="0.2">
      <c r="C555"/>
    </row>
    <row r="556" spans="3:3" x14ac:dyDescent="0.2">
      <c r="C556"/>
    </row>
    <row r="557" spans="3:3" x14ac:dyDescent="0.2">
      <c r="C557"/>
    </row>
    <row r="558" spans="3:3" x14ac:dyDescent="0.2">
      <c r="C558"/>
    </row>
    <row r="559" spans="3:3" x14ac:dyDescent="0.2">
      <c r="C559"/>
    </row>
    <row r="560" spans="3:3" x14ac:dyDescent="0.2">
      <c r="C560"/>
    </row>
    <row r="561" spans="3:3" x14ac:dyDescent="0.2">
      <c r="C561"/>
    </row>
    <row r="562" spans="3:3" x14ac:dyDescent="0.2">
      <c r="C562"/>
    </row>
    <row r="563" spans="3:3" x14ac:dyDescent="0.2">
      <c r="C563"/>
    </row>
    <row r="564" spans="3:3" x14ac:dyDescent="0.2">
      <c r="C564"/>
    </row>
    <row r="565" spans="3:3" x14ac:dyDescent="0.2">
      <c r="C565"/>
    </row>
    <row r="566" spans="3:3" x14ac:dyDescent="0.2">
      <c r="C566"/>
    </row>
    <row r="567" spans="3:3" x14ac:dyDescent="0.2">
      <c r="C567"/>
    </row>
    <row r="568" spans="3:3" x14ac:dyDescent="0.2">
      <c r="C568"/>
    </row>
    <row r="569" spans="3:3" x14ac:dyDescent="0.2">
      <c r="C569"/>
    </row>
    <row r="570" spans="3:3" x14ac:dyDescent="0.2">
      <c r="C570"/>
    </row>
    <row r="571" spans="3:3" x14ac:dyDescent="0.2">
      <c r="C571"/>
    </row>
    <row r="572" spans="3:3" x14ac:dyDescent="0.2">
      <c r="C572"/>
    </row>
    <row r="573" spans="3:3" x14ac:dyDescent="0.2">
      <c r="C573"/>
    </row>
    <row r="574" spans="3:3" x14ac:dyDescent="0.2">
      <c r="C574"/>
    </row>
    <row r="575" spans="3:3" x14ac:dyDescent="0.2">
      <c r="C575"/>
    </row>
    <row r="576" spans="3:3" x14ac:dyDescent="0.2">
      <c r="C576"/>
    </row>
    <row r="577" spans="3:3" x14ac:dyDescent="0.2">
      <c r="C577"/>
    </row>
    <row r="578" spans="3:3" x14ac:dyDescent="0.2">
      <c r="C578"/>
    </row>
    <row r="579" spans="3:3" x14ac:dyDescent="0.2">
      <c r="C579"/>
    </row>
    <row r="580" spans="3:3" x14ac:dyDescent="0.2">
      <c r="C580"/>
    </row>
    <row r="581" spans="3:3" x14ac:dyDescent="0.2">
      <c r="C581"/>
    </row>
    <row r="582" spans="3:3" x14ac:dyDescent="0.2">
      <c r="C582"/>
    </row>
    <row r="583" spans="3:3" x14ac:dyDescent="0.2">
      <c r="C583"/>
    </row>
    <row r="584" spans="3:3" x14ac:dyDescent="0.2">
      <c r="C584"/>
    </row>
    <row r="585" spans="3:3" x14ac:dyDescent="0.2">
      <c r="C585"/>
    </row>
    <row r="586" spans="3:3" x14ac:dyDescent="0.2">
      <c r="C586"/>
    </row>
    <row r="587" spans="3:3" x14ac:dyDescent="0.2">
      <c r="C587"/>
    </row>
    <row r="588" spans="3:3" x14ac:dyDescent="0.2">
      <c r="C588"/>
    </row>
    <row r="589" spans="3:3" x14ac:dyDescent="0.2">
      <c r="C589"/>
    </row>
    <row r="590" spans="3:3" x14ac:dyDescent="0.2">
      <c r="C590"/>
    </row>
    <row r="591" spans="3:3" x14ac:dyDescent="0.2">
      <c r="C591"/>
    </row>
    <row r="592" spans="3:3" x14ac:dyDescent="0.2">
      <c r="C592"/>
    </row>
    <row r="593" spans="3:3" x14ac:dyDescent="0.2">
      <c r="C593"/>
    </row>
    <row r="594" spans="3:3" x14ac:dyDescent="0.2">
      <c r="C594"/>
    </row>
    <row r="595" spans="3:3" x14ac:dyDescent="0.2">
      <c r="C595"/>
    </row>
    <row r="596" spans="3:3" x14ac:dyDescent="0.2">
      <c r="C596"/>
    </row>
    <row r="597" spans="3:3" x14ac:dyDescent="0.2">
      <c r="C597"/>
    </row>
    <row r="598" spans="3:3" x14ac:dyDescent="0.2">
      <c r="C598"/>
    </row>
    <row r="599" spans="3:3" x14ac:dyDescent="0.2">
      <c r="C599"/>
    </row>
    <row r="600" spans="3:3" x14ac:dyDescent="0.2">
      <c r="C600"/>
    </row>
  </sheetData>
  <mergeCells count="1">
    <mergeCell ref="S2:W2"/>
  </mergeCell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0EDDFC-47F5-43F6-991F-BE9AF569513B}">
          <x14:formula1>
            <xm:f>Liste!$B$2:$B$7</xm:f>
          </x14:formula1>
          <xm:sqref>E6</xm:sqref>
        </x14:dataValidation>
        <x14:dataValidation type="list" allowBlank="1" showInputMessage="1" showErrorMessage="1" xr:uid="{04D4D3B9-2B78-4EF7-883D-635FF4615421}">
          <x14:formula1>
            <xm:f>Liste!$C$2:$C$16</xm:f>
          </x14:formula1>
          <xm:sqref>F6</xm:sqref>
        </x14:dataValidation>
        <x14:dataValidation type="list" allowBlank="1" showInputMessage="1" showErrorMessage="1" xr:uid="{5D353576-C312-4A29-9BD2-311504567197}">
          <x14:formula1>
            <xm:f>Liste!$E$2:$E$13</xm:f>
          </x14:formula1>
          <xm:sqref>G6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C6204-8BE5-4208-8965-5F51AE6F4094}">
  <sheetPr codeName="Feuil3"/>
  <dimension ref="A1:L2451"/>
  <sheetViews>
    <sheetView tabSelected="1" zoomScale="65" zoomScaleNormal="65" workbookViewId="0"/>
  </sheetViews>
  <sheetFormatPr defaultColWidth="11.42578125" defaultRowHeight="12.75" x14ac:dyDescent="0.2"/>
  <cols>
    <col min="1" max="1" width="21.42578125" style="28" bestFit="1" customWidth="1"/>
    <col min="2" max="2" width="7.140625" bestFit="1" customWidth="1"/>
    <col min="3" max="3" width="14.140625" style="30" bestFit="1" customWidth="1"/>
    <col min="4" max="4" width="17.7109375" style="31" bestFit="1" customWidth="1"/>
    <col min="5" max="5" width="16.42578125" style="28" bestFit="1" customWidth="1"/>
    <col min="6" max="6" width="18.42578125" style="15" bestFit="1" customWidth="1"/>
    <col min="7" max="7" width="11.85546875" style="28" bestFit="1" customWidth="1"/>
    <col min="8" max="8" width="22.5703125" style="15" bestFit="1" customWidth="1"/>
    <col min="9" max="9" width="20.140625" bestFit="1" customWidth="1"/>
    <col min="10" max="10" width="24.5703125" bestFit="1" customWidth="1"/>
    <col min="11" max="11" width="47.85546875" style="28" bestFit="1" customWidth="1"/>
    <col min="12" max="12" width="11.85546875" bestFit="1" customWidth="1"/>
  </cols>
  <sheetData>
    <row r="1" spans="1:12" x14ac:dyDescent="0.2">
      <c r="A1" s="28" t="s">
        <v>0</v>
      </c>
      <c r="B1" s="2" t="s">
        <v>45</v>
      </c>
      <c r="C1" s="29" t="s">
        <v>67</v>
      </c>
      <c r="D1" s="29" t="s">
        <v>69</v>
      </c>
      <c r="E1" s="28" t="s">
        <v>70</v>
      </c>
      <c r="F1" s="15" t="s">
        <v>34</v>
      </c>
      <c r="G1" s="29" t="s">
        <v>1</v>
      </c>
      <c r="H1" s="15" t="s">
        <v>37</v>
      </c>
      <c r="I1" t="s">
        <v>38</v>
      </c>
      <c r="J1" t="s">
        <v>31</v>
      </c>
      <c r="K1" s="29" t="s">
        <v>68</v>
      </c>
      <c r="L1" t="s">
        <v>6</v>
      </c>
    </row>
    <row r="2" spans="1:12" ht="15" customHeight="1" x14ac:dyDescent="0.2">
      <c r="A2" s="28" t="s">
        <v>7</v>
      </c>
      <c r="B2" s="2" t="s">
        <v>29</v>
      </c>
      <c r="C2" s="30">
        <v>0.25</v>
      </c>
      <c r="D2" s="28">
        <f>YEAR(TableauFlitrage[[#This Row],[Date_d_adjudication]])</f>
        <v>2011</v>
      </c>
      <c r="E2" s="28">
        <f t="shared" ref="E2:E65" si="0">MONTH(F2)</f>
        <v>11</v>
      </c>
      <c r="F2" s="15">
        <v>40870</v>
      </c>
      <c r="G2" s="28">
        <v>99.557638888888903</v>
      </c>
      <c r="H2" s="15">
        <v>40963</v>
      </c>
      <c r="I2">
        <v>270.65000000000003</v>
      </c>
      <c r="J2">
        <v>8000</v>
      </c>
      <c r="K2" s="28">
        <v>1.75</v>
      </c>
    </row>
    <row r="3" spans="1:12" ht="15" customHeight="1" x14ac:dyDescent="0.2">
      <c r="A3" s="28" t="s">
        <v>7</v>
      </c>
      <c r="B3" s="2" t="s">
        <v>29</v>
      </c>
      <c r="C3" s="30">
        <v>0.5</v>
      </c>
      <c r="D3" s="28">
        <f>YEAR(TableauFlitrage[[#This Row],[Date_d_adjudication]])</f>
        <v>2011</v>
      </c>
      <c r="E3" s="28">
        <f t="shared" si="0"/>
        <v>12</v>
      </c>
      <c r="F3" s="15">
        <v>40884</v>
      </c>
      <c r="G3" s="28">
        <v>98.594555555555559</v>
      </c>
      <c r="H3" s="15">
        <v>41068</v>
      </c>
      <c r="I3">
        <v>296.20000000000005</v>
      </c>
      <c r="J3">
        <v>10000</v>
      </c>
      <c r="K3" s="28">
        <v>2.78</v>
      </c>
    </row>
    <row r="4" spans="1:12" ht="15" customHeight="1" x14ac:dyDescent="0.2">
      <c r="A4" s="28" t="s">
        <v>7</v>
      </c>
      <c r="B4" s="2" t="s">
        <v>29</v>
      </c>
      <c r="C4" s="30">
        <v>0.25</v>
      </c>
      <c r="D4" s="28">
        <f>YEAR(TableauFlitrage[[#This Row],[Date_d_adjudication]])</f>
        <v>2011</v>
      </c>
      <c r="E4" s="28">
        <f t="shared" si="0"/>
        <v>12</v>
      </c>
      <c r="F4" s="15">
        <v>40891</v>
      </c>
      <c r="G4" s="28">
        <v>99.512138888888884</v>
      </c>
      <c r="H4" s="15">
        <v>40984</v>
      </c>
      <c r="I4">
        <v>219.05</v>
      </c>
      <c r="J4">
        <v>17000</v>
      </c>
      <c r="K4" s="28">
        <v>1.93</v>
      </c>
    </row>
    <row r="5" spans="1:12" ht="15" customHeight="1" x14ac:dyDescent="0.2">
      <c r="A5" s="28" t="s">
        <v>7</v>
      </c>
      <c r="B5" s="2" t="s">
        <v>29</v>
      </c>
      <c r="C5" s="30">
        <v>0.5</v>
      </c>
      <c r="D5" s="28">
        <f>YEAR(TableauFlitrage[[#This Row],[Date_d_adjudication]])</f>
        <v>2011</v>
      </c>
      <c r="E5" s="28">
        <f t="shared" si="0"/>
        <v>12</v>
      </c>
      <c r="F5" s="15">
        <v>40898</v>
      </c>
      <c r="G5" s="28">
        <v>98.741166666666672</v>
      </c>
      <c r="H5" s="15">
        <v>41082</v>
      </c>
      <c r="I5">
        <v>220.17000000000002</v>
      </c>
      <c r="J5">
        <v>15000</v>
      </c>
      <c r="K5" s="28">
        <v>2.4900000000000002</v>
      </c>
    </row>
    <row r="6" spans="1:12" ht="15" customHeight="1" x14ac:dyDescent="0.2">
      <c r="A6" s="28" t="s">
        <v>14</v>
      </c>
      <c r="B6" s="2" t="s">
        <v>29</v>
      </c>
      <c r="C6" s="30">
        <v>0.5</v>
      </c>
      <c r="D6" s="28">
        <f>YEAR(TableauFlitrage[[#This Row],[Date_d_adjudication]])</f>
        <v>2011</v>
      </c>
      <c r="E6" s="28">
        <f t="shared" si="0"/>
        <v>12</v>
      </c>
      <c r="F6" s="15">
        <v>40905</v>
      </c>
      <c r="G6" s="28">
        <v>97.644111111111116</v>
      </c>
      <c r="H6" s="15">
        <v>41089</v>
      </c>
      <c r="I6">
        <v>43.8</v>
      </c>
      <c r="J6">
        <v>1560</v>
      </c>
      <c r="K6" s="28">
        <v>4.66</v>
      </c>
    </row>
    <row r="7" spans="1:12" ht="15" customHeight="1" x14ac:dyDescent="0.2">
      <c r="A7" s="28" t="s">
        <v>14</v>
      </c>
      <c r="B7" s="2" t="s">
        <v>29</v>
      </c>
      <c r="C7" s="30">
        <v>0.25</v>
      </c>
      <c r="D7" s="28">
        <f>YEAR(TableauFlitrage[[#This Row],[Date_d_adjudication]])</f>
        <v>2012</v>
      </c>
      <c r="E7" s="28">
        <f t="shared" si="0"/>
        <v>1</v>
      </c>
      <c r="F7" s="15">
        <v>40926</v>
      </c>
      <c r="G7" s="28">
        <v>98.748750000000001</v>
      </c>
      <c r="H7" s="15">
        <v>41019</v>
      </c>
      <c r="I7">
        <v>50.5</v>
      </c>
      <c r="J7">
        <v>2000</v>
      </c>
      <c r="K7" s="28">
        <v>4.95</v>
      </c>
    </row>
    <row r="8" spans="1:12" ht="15" customHeight="1" x14ac:dyDescent="0.2">
      <c r="A8" s="28" t="s">
        <v>7</v>
      </c>
      <c r="B8" s="2" t="s">
        <v>29</v>
      </c>
      <c r="C8" s="30">
        <v>0.5</v>
      </c>
      <c r="D8" s="28">
        <f>YEAR(TableauFlitrage[[#This Row],[Date_d_adjudication]])</f>
        <v>2012</v>
      </c>
      <c r="E8" s="28">
        <f t="shared" si="0"/>
        <v>2</v>
      </c>
      <c r="F8" s="15">
        <v>40954</v>
      </c>
      <c r="G8" s="28">
        <v>98.872611111111112</v>
      </c>
      <c r="H8" s="15">
        <v>41138</v>
      </c>
      <c r="I8">
        <v>339.59999999999997</v>
      </c>
      <c r="J8">
        <v>10000</v>
      </c>
      <c r="K8" s="28">
        <v>2.23</v>
      </c>
    </row>
    <row r="9" spans="1:12" ht="15" customHeight="1" x14ac:dyDescent="0.2">
      <c r="A9" s="28" t="s">
        <v>7</v>
      </c>
      <c r="B9" s="2" t="s">
        <v>29</v>
      </c>
      <c r="C9" s="30">
        <v>0.5</v>
      </c>
      <c r="D9" s="28">
        <f>YEAR(TableauFlitrage[[#This Row],[Date_d_adjudication]])</f>
        <v>2012</v>
      </c>
      <c r="E9" s="28">
        <f t="shared" si="0"/>
        <v>2</v>
      </c>
      <c r="F9" s="15">
        <v>40961</v>
      </c>
      <c r="G9" s="28">
        <v>98.862499999999997</v>
      </c>
      <c r="H9" s="15">
        <v>41145</v>
      </c>
      <c r="I9">
        <v>296</v>
      </c>
      <c r="J9">
        <v>5000</v>
      </c>
      <c r="K9" s="28">
        <v>2.25</v>
      </c>
    </row>
    <row r="10" spans="1:12" ht="15" customHeight="1" x14ac:dyDescent="0.2">
      <c r="A10" s="28" t="s">
        <v>7</v>
      </c>
      <c r="B10" s="2" t="s">
        <v>29</v>
      </c>
      <c r="C10" s="30">
        <v>0.5</v>
      </c>
      <c r="D10" s="28">
        <f>YEAR(TableauFlitrage[[#This Row],[Date_d_adjudication]])</f>
        <v>2012</v>
      </c>
      <c r="E10" s="28">
        <f t="shared" si="0"/>
        <v>2</v>
      </c>
      <c r="F10" s="15">
        <v>40968</v>
      </c>
      <c r="G10" s="28">
        <v>98.867555555555555</v>
      </c>
      <c r="H10" s="15">
        <v>41152</v>
      </c>
      <c r="I10">
        <v>362.5</v>
      </c>
      <c r="J10">
        <v>5000</v>
      </c>
      <c r="K10" s="28">
        <v>2.2400000000000002</v>
      </c>
    </row>
    <row r="11" spans="1:12" ht="15" customHeight="1" x14ac:dyDescent="0.2">
      <c r="A11" s="28" t="s">
        <v>7</v>
      </c>
      <c r="B11" s="2" t="s">
        <v>29</v>
      </c>
      <c r="C11" s="30">
        <v>0.5</v>
      </c>
      <c r="D11" s="28">
        <f>YEAR(TableauFlitrage[[#This Row],[Date_d_adjudication]])</f>
        <v>2012</v>
      </c>
      <c r="E11" s="28">
        <f t="shared" si="0"/>
        <v>5</v>
      </c>
      <c r="F11" s="15">
        <v>41038</v>
      </c>
      <c r="G11" s="28">
        <v>98.902944444444444</v>
      </c>
      <c r="H11" s="15">
        <v>41222</v>
      </c>
      <c r="I11">
        <v>254.9</v>
      </c>
      <c r="J11">
        <v>10000</v>
      </c>
      <c r="K11" s="28">
        <v>2.17</v>
      </c>
    </row>
    <row r="12" spans="1:12" ht="15" customHeight="1" x14ac:dyDescent="0.2">
      <c r="A12" s="28" t="s">
        <v>7</v>
      </c>
      <c r="B12" s="2" t="s">
        <v>29</v>
      </c>
      <c r="C12" s="30">
        <v>0.5</v>
      </c>
      <c r="D12" s="28">
        <f>YEAR(TableauFlitrage[[#This Row],[Date_d_adjudication]])</f>
        <v>2012</v>
      </c>
      <c r="E12" s="28">
        <f t="shared" si="0"/>
        <v>5</v>
      </c>
      <c r="F12" s="15">
        <v>41059</v>
      </c>
      <c r="G12" s="28">
        <v>98.902944444444444</v>
      </c>
      <c r="H12" s="15">
        <v>41243</v>
      </c>
      <c r="I12">
        <v>438.1</v>
      </c>
      <c r="J12">
        <v>5000</v>
      </c>
      <c r="K12" s="28">
        <v>2.17</v>
      </c>
    </row>
    <row r="13" spans="1:12" ht="15" customHeight="1" x14ac:dyDescent="0.2">
      <c r="A13" s="28" t="s">
        <v>7</v>
      </c>
      <c r="B13" s="2" t="s">
        <v>29</v>
      </c>
      <c r="C13" s="30">
        <v>0.25</v>
      </c>
      <c r="D13" s="28">
        <f>YEAR(TableauFlitrage[[#This Row],[Date_d_adjudication]])</f>
        <v>2012</v>
      </c>
      <c r="E13" s="28">
        <f t="shared" si="0"/>
        <v>6</v>
      </c>
      <c r="F13" s="15">
        <v>41066</v>
      </c>
      <c r="G13" s="28">
        <v>99.484333333333339</v>
      </c>
      <c r="H13" s="15">
        <v>41159</v>
      </c>
      <c r="I13">
        <v>488.5</v>
      </c>
      <c r="J13">
        <v>5000</v>
      </c>
      <c r="K13" s="28">
        <v>2.04</v>
      </c>
    </row>
    <row r="14" spans="1:12" ht="15" customHeight="1" x14ac:dyDescent="0.2">
      <c r="A14" s="28" t="s">
        <v>14</v>
      </c>
      <c r="B14" s="2" t="s">
        <v>29</v>
      </c>
      <c r="C14" s="30">
        <v>0.25</v>
      </c>
      <c r="D14" s="28">
        <f>YEAR(TableauFlitrage[[#This Row],[Date_d_adjudication]])</f>
        <v>2012</v>
      </c>
      <c r="E14" s="28">
        <f t="shared" si="0"/>
        <v>6</v>
      </c>
      <c r="F14" s="15">
        <v>41080</v>
      </c>
      <c r="G14" s="28">
        <v>98.761388888888888</v>
      </c>
      <c r="H14" s="15">
        <v>41173</v>
      </c>
      <c r="I14">
        <v>55.000000000000007</v>
      </c>
      <c r="J14">
        <v>1650</v>
      </c>
      <c r="K14" s="28">
        <v>4.9000000000000004</v>
      </c>
    </row>
    <row r="15" spans="1:12" ht="15" customHeight="1" x14ac:dyDescent="0.2">
      <c r="A15" s="28" t="s">
        <v>7</v>
      </c>
      <c r="B15" s="2" t="s">
        <v>29</v>
      </c>
      <c r="C15" s="30">
        <v>1</v>
      </c>
      <c r="D15" s="28">
        <f>YEAR(TableauFlitrage[[#This Row],[Date_d_adjudication]])</f>
        <v>2012</v>
      </c>
      <c r="E15" s="28">
        <f t="shared" si="0"/>
        <v>6</v>
      </c>
      <c r="F15" s="15">
        <v>41080</v>
      </c>
      <c r="G15" s="28">
        <v>97.50255555555556</v>
      </c>
      <c r="H15" s="15">
        <v>41446</v>
      </c>
      <c r="I15">
        <v>286.98</v>
      </c>
      <c r="J15">
        <v>5000</v>
      </c>
      <c r="K15" s="28">
        <v>2.4700000000000002</v>
      </c>
    </row>
    <row r="16" spans="1:12" ht="15" customHeight="1" x14ac:dyDescent="0.2">
      <c r="A16" s="28" t="s">
        <v>7</v>
      </c>
      <c r="B16" s="2" t="s">
        <v>29</v>
      </c>
      <c r="C16" s="30">
        <v>0.5</v>
      </c>
      <c r="D16" s="28">
        <f>YEAR(TableauFlitrage[[#This Row],[Date_d_adjudication]])</f>
        <v>2012</v>
      </c>
      <c r="E16" s="28">
        <f t="shared" si="0"/>
        <v>6</v>
      </c>
      <c r="F16" s="15">
        <v>41087</v>
      </c>
      <c r="G16" s="28">
        <v>98.968666666666664</v>
      </c>
      <c r="H16" s="15">
        <v>41271</v>
      </c>
      <c r="I16">
        <v>199.62</v>
      </c>
      <c r="J16">
        <v>10000</v>
      </c>
      <c r="K16" s="28">
        <v>2.04</v>
      </c>
    </row>
    <row r="17" spans="1:11" ht="15" customHeight="1" x14ac:dyDescent="0.2">
      <c r="A17" s="28" t="s">
        <v>7</v>
      </c>
      <c r="B17" s="2" t="s">
        <v>29</v>
      </c>
      <c r="C17" s="30">
        <v>0.5</v>
      </c>
      <c r="D17" s="28">
        <f>YEAR(TableauFlitrage[[#This Row],[Date_d_adjudication]])</f>
        <v>2012</v>
      </c>
      <c r="E17" s="28">
        <f t="shared" si="0"/>
        <v>8</v>
      </c>
      <c r="F17" s="15">
        <v>41143</v>
      </c>
      <c r="G17" s="28">
        <v>98.988888888888894</v>
      </c>
      <c r="H17" s="15">
        <v>41327</v>
      </c>
      <c r="I17">
        <v>534.4</v>
      </c>
      <c r="J17">
        <v>5000</v>
      </c>
      <c r="K17" s="28">
        <v>2</v>
      </c>
    </row>
    <row r="18" spans="1:11" ht="15" customHeight="1" x14ac:dyDescent="0.2">
      <c r="A18" s="28" t="s">
        <v>7</v>
      </c>
      <c r="B18" s="2" t="s">
        <v>29</v>
      </c>
      <c r="C18" s="30">
        <v>1</v>
      </c>
      <c r="D18" s="28">
        <f>YEAR(TableauFlitrage[[#This Row],[Date_d_adjudication]])</f>
        <v>2012</v>
      </c>
      <c r="E18" s="28">
        <f t="shared" si="0"/>
        <v>8</v>
      </c>
      <c r="F18" s="15">
        <v>41150</v>
      </c>
      <c r="G18" s="28">
        <v>96.997</v>
      </c>
      <c r="H18" s="15">
        <v>41516</v>
      </c>
      <c r="I18">
        <v>152.69999999999999</v>
      </c>
      <c r="J18">
        <v>5000</v>
      </c>
      <c r="K18" s="28">
        <v>2.97</v>
      </c>
    </row>
    <row r="19" spans="1:11" ht="15" customHeight="1" x14ac:dyDescent="0.2">
      <c r="A19" s="28" t="s">
        <v>14</v>
      </c>
      <c r="B19" s="2" t="s">
        <v>29</v>
      </c>
      <c r="C19" s="30">
        <v>0.5</v>
      </c>
      <c r="D19" s="28">
        <f>YEAR(TableauFlitrage[[#This Row],[Date_d_adjudication]])</f>
        <v>2012</v>
      </c>
      <c r="E19" s="28">
        <f t="shared" si="0"/>
        <v>9</v>
      </c>
      <c r="F19" s="15">
        <v>41164</v>
      </c>
      <c r="G19" s="28">
        <v>97.345833333333331</v>
      </c>
      <c r="H19" s="15">
        <v>41348</v>
      </c>
      <c r="I19">
        <v>91.600000000000009</v>
      </c>
      <c r="J19">
        <v>2750</v>
      </c>
      <c r="K19" s="28">
        <v>5.25</v>
      </c>
    </row>
    <row r="20" spans="1:11" ht="15" customHeight="1" x14ac:dyDescent="0.2">
      <c r="A20" s="28" t="s">
        <v>7</v>
      </c>
      <c r="B20" s="2" t="s">
        <v>29</v>
      </c>
      <c r="C20" s="30">
        <v>0.5</v>
      </c>
      <c r="D20" s="28">
        <f>YEAR(TableauFlitrage[[#This Row],[Date_d_adjudication]])</f>
        <v>2012</v>
      </c>
      <c r="E20" s="28">
        <f t="shared" si="0"/>
        <v>9</v>
      </c>
      <c r="F20" s="15">
        <v>41171</v>
      </c>
      <c r="G20" s="28">
        <v>99.125388888888892</v>
      </c>
      <c r="H20" s="15">
        <v>41355</v>
      </c>
      <c r="I20">
        <v>391.92</v>
      </c>
      <c r="J20">
        <v>5000</v>
      </c>
      <c r="K20" s="28">
        <v>1.73</v>
      </c>
    </row>
    <row r="21" spans="1:11" ht="15" customHeight="1" x14ac:dyDescent="0.2">
      <c r="A21" s="28" t="s">
        <v>7</v>
      </c>
      <c r="B21" s="2" t="s">
        <v>29</v>
      </c>
      <c r="C21" s="30">
        <v>0.5</v>
      </c>
      <c r="D21" s="28">
        <f>YEAR(TableauFlitrage[[#This Row],[Date_d_adjudication]])</f>
        <v>2012</v>
      </c>
      <c r="E21" s="28">
        <f t="shared" si="0"/>
        <v>9</v>
      </c>
      <c r="F21" s="15">
        <v>41178</v>
      </c>
      <c r="G21" s="28">
        <v>99.150666666666666</v>
      </c>
      <c r="H21" s="15">
        <v>41362</v>
      </c>
      <c r="I21">
        <v>492</v>
      </c>
      <c r="J21">
        <v>5000</v>
      </c>
      <c r="K21" s="28">
        <v>1.68</v>
      </c>
    </row>
    <row r="22" spans="1:11" ht="15" customHeight="1" x14ac:dyDescent="0.2">
      <c r="A22" s="28" t="s">
        <v>7</v>
      </c>
      <c r="B22" s="2" t="s">
        <v>29</v>
      </c>
      <c r="C22" s="30">
        <v>0.25</v>
      </c>
      <c r="D22" s="28">
        <f>YEAR(TableauFlitrage[[#This Row],[Date_d_adjudication]])</f>
        <v>2012</v>
      </c>
      <c r="E22" s="28">
        <f t="shared" si="0"/>
        <v>10</v>
      </c>
      <c r="F22" s="15">
        <v>41206</v>
      </c>
      <c r="G22" s="28">
        <v>99.575333333333333</v>
      </c>
      <c r="H22" s="15">
        <v>41299</v>
      </c>
      <c r="I22">
        <v>163</v>
      </c>
      <c r="J22">
        <v>10000</v>
      </c>
      <c r="K22" s="28">
        <v>1.68</v>
      </c>
    </row>
    <row r="23" spans="1:11" ht="15" customHeight="1" x14ac:dyDescent="0.2">
      <c r="A23" s="28" t="s">
        <v>7</v>
      </c>
      <c r="B23" s="2" t="s">
        <v>29</v>
      </c>
      <c r="C23" s="30">
        <v>0.5</v>
      </c>
      <c r="D23" s="28">
        <f>YEAR(TableauFlitrage[[#This Row],[Date_d_adjudication]])</f>
        <v>2012</v>
      </c>
      <c r="E23" s="28">
        <f t="shared" si="0"/>
        <v>10</v>
      </c>
      <c r="F23" s="15">
        <v>41213</v>
      </c>
      <c r="G23" s="28">
        <v>99.180999999999997</v>
      </c>
      <c r="H23" s="15">
        <v>41397</v>
      </c>
      <c r="I23">
        <v>426</v>
      </c>
      <c r="J23">
        <v>5000</v>
      </c>
      <c r="K23" s="28">
        <v>1.62</v>
      </c>
    </row>
    <row r="24" spans="1:11" ht="15" customHeight="1" x14ac:dyDescent="0.2">
      <c r="A24" s="28" t="s">
        <v>7</v>
      </c>
      <c r="B24" s="2" t="s">
        <v>29</v>
      </c>
      <c r="C24" s="30">
        <v>0.25</v>
      </c>
      <c r="D24" s="28">
        <f>YEAR(TableauFlitrage[[#This Row],[Date_d_adjudication]])</f>
        <v>2012</v>
      </c>
      <c r="E24" s="28">
        <f t="shared" si="0"/>
        <v>11</v>
      </c>
      <c r="F24" s="15">
        <v>41234</v>
      </c>
      <c r="G24" s="28">
        <v>99.620833333333337</v>
      </c>
      <c r="H24" s="15">
        <v>41327</v>
      </c>
      <c r="I24">
        <v>584</v>
      </c>
      <c r="J24">
        <v>5000</v>
      </c>
      <c r="K24" s="28">
        <v>1.5</v>
      </c>
    </row>
    <row r="25" spans="1:11" ht="15" customHeight="1" x14ac:dyDescent="0.2">
      <c r="A25" s="28" t="s">
        <v>7</v>
      </c>
      <c r="B25" s="2" t="s">
        <v>29</v>
      </c>
      <c r="C25" s="30">
        <v>0.25</v>
      </c>
      <c r="D25" s="28">
        <f>YEAR(TableauFlitrage[[#This Row],[Date_d_adjudication]])</f>
        <v>2012</v>
      </c>
      <c r="E25" s="28">
        <f t="shared" si="0"/>
        <v>12</v>
      </c>
      <c r="F25" s="15">
        <v>41248</v>
      </c>
      <c r="G25" s="28">
        <v>99.646111111111111</v>
      </c>
      <c r="H25" s="15">
        <v>41341</v>
      </c>
      <c r="I25">
        <v>690</v>
      </c>
      <c r="J25">
        <v>5000</v>
      </c>
      <c r="K25" s="28">
        <v>1.4</v>
      </c>
    </row>
    <row r="26" spans="1:11" ht="15" customHeight="1" x14ac:dyDescent="0.2">
      <c r="A26" s="28" t="s">
        <v>7</v>
      </c>
      <c r="B26" s="2" t="s">
        <v>29</v>
      </c>
      <c r="C26" s="30">
        <v>0.5</v>
      </c>
      <c r="D26" s="28">
        <f>YEAR(TableauFlitrage[[#This Row],[Date_d_adjudication]])</f>
        <v>2012</v>
      </c>
      <c r="E26" s="28">
        <f t="shared" si="0"/>
        <v>12</v>
      </c>
      <c r="F26" s="15">
        <v>41255</v>
      </c>
      <c r="G26" s="28">
        <v>99.211333333333329</v>
      </c>
      <c r="H26" s="15">
        <v>41439</v>
      </c>
      <c r="I26">
        <v>355</v>
      </c>
      <c r="J26">
        <v>10000</v>
      </c>
      <c r="K26" s="28">
        <v>1.56</v>
      </c>
    </row>
    <row r="27" spans="1:11" ht="15" customHeight="1" x14ac:dyDescent="0.2">
      <c r="A27" s="28" t="s">
        <v>14</v>
      </c>
      <c r="B27" s="2" t="s">
        <v>29</v>
      </c>
      <c r="C27" s="30">
        <v>0.5</v>
      </c>
      <c r="D27" s="28">
        <f>YEAR(TableauFlitrage[[#This Row],[Date_d_adjudication]])</f>
        <v>2012</v>
      </c>
      <c r="E27" s="28">
        <f t="shared" si="0"/>
        <v>12</v>
      </c>
      <c r="F27" s="15">
        <v>41262</v>
      </c>
      <c r="G27" s="28">
        <v>97.371111111111105</v>
      </c>
      <c r="H27" s="15">
        <v>41446</v>
      </c>
      <c r="I27">
        <v>75</v>
      </c>
      <c r="J27">
        <v>3000</v>
      </c>
      <c r="K27" s="28">
        <v>5.2</v>
      </c>
    </row>
    <row r="28" spans="1:11" ht="15" customHeight="1" x14ac:dyDescent="0.2">
      <c r="A28" s="28" t="s">
        <v>7</v>
      </c>
      <c r="B28" s="2" t="s">
        <v>29</v>
      </c>
      <c r="C28" s="30">
        <v>1</v>
      </c>
      <c r="D28" s="28">
        <f>YEAR(TableauFlitrage[[#This Row],[Date_d_adjudication]])</f>
        <v>2013</v>
      </c>
      <c r="E28" s="28">
        <f t="shared" si="0"/>
        <v>1</v>
      </c>
      <c r="F28" s="15">
        <v>41304</v>
      </c>
      <c r="G28" s="28">
        <v>97.826111111111118</v>
      </c>
      <c r="H28" s="15">
        <v>41670</v>
      </c>
      <c r="I28">
        <v>340.33000000000004</v>
      </c>
      <c r="J28">
        <v>15000</v>
      </c>
      <c r="K28" s="28">
        <v>2.15</v>
      </c>
    </row>
    <row r="29" spans="1:11" ht="15" customHeight="1" x14ac:dyDescent="0.2">
      <c r="A29" s="28" t="s">
        <v>7</v>
      </c>
      <c r="B29" s="2" t="s">
        <v>29</v>
      </c>
      <c r="C29" s="30">
        <v>1</v>
      </c>
      <c r="D29" s="28">
        <f>YEAR(TableauFlitrage[[#This Row],[Date_d_adjudication]])</f>
        <v>2013</v>
      </c>
      <c r="E29" s="28">
        <f t="shared" si="0"/>
        <v>2</v>
      </c>
      <c r="F29" s="15">
        <v>41325</v>
      </c>
      <c r="G29" s="28">
        <v>97.522777777777776</v>
      </c>
      <c r="H29" s="15">
        <v>41691</v>
      </c>
      <c r="I29">
        <v>370</v>
      </c>
      <c r="J29">
        <v>10000</v>
      </c>
      <c r="K29" s="28">
        <v>2.4500000000000002</v>
      </c>
    </row>
    <row r="30" spans="1:11" ht="15" customHeight="1" x14ac:dyDescent="0.2">
      <c r="A30" s="28" t="s">
        <v>14</v>
      </c>
      <c r="B30" s="2" t="s">
        <v>29</v>
      </c>
      <c r="C30" s="30">
        <v>0.5</v>
      </c>
      <c r="D30" s="28">
        <f>YEAR(TableauFlitrage[[#This Row],[Date_d_adjudication]])</f>
        <v>2013</v>
      </c>
      <c r="E30" s="28">
        <f t="shared" si="0"/>
        <v>2</v>
      </c>
      <c r="F30" s="15">
        <v>41325</v>
      </c>
      <c r="G30" s="28">
        <v>97.219444444444449</v>
      </c>
      <c r="H30" s="15">
        <v>41509</v>
      </c>
      <c r="I30">
        <v>56.2</v>
      </c>
      <c r="J30">
        <v>2500</v>
      </c>
      <c r="K30" s="28">
        <v>5.5</v>
      </c>
    </row>
    <row r="31" spans="1:11" ht="15" customHeight="1" x14ac:dyDescent="0.2">
      <c r="A31" s="28" t="s">
        <v>7</v>
      </c>
      <c r="B31" s="2" t="s">
        <v>29</v>
      </c>
      <c r="C31" s="30">
        <v>0.5</v>
      </c>
      <c r="D31" s="28">
        <f>YEAR(TableauFlitrage[[#This Row],[Date_d_adjudication]])</f>
        <v>2013</v>
      </c>
      <c r="E31" s="28">
        <f t="shared" si="0"/>
        <v>4</v>
      </c>
      <c r="F31" s="15">
        <v>41388</v>
      </c>
      <c r="G31" s="28">
        <v>99.292222222222222</v>
      </c>
      <c r="H31" s="15">
        <v>41572</v>
      </c>
      <c r="I31">
        <v>420</v>
      </c>
      <c r="J31">
        <v>10000</v>
      </c>
      <c r="K31" s="28">
        <v>1.4</v>
      </c>
    </row>
    <row r="32" spans="1:11" ht="15" customHeight="1" x14ac:dyDescent="0.2">
      <c r="A32" s="28" t="s">
        <v>7</v>
      </c>
      <c r="B32" s="2" t="s">
        <v>29</v>
      </c>
      <c r="C32" s="30">
        <v>1</v>
      </c>
      <c r="D32" s="28">
        <f>YEAR(TableauFlitrage[[#This Row],[Date_d_adjudication]])</f>
        <v>2013</v>
      </c>
      <c r="E32" s="28">
        <f t="shared" si="0"/>
        <v>5</v>
      </c>
      <c r="F32" s="15">
        <v>41402</v>
      </c>
      <c r="G32" s="28">
        <v>97.724999999999994</v>
      </c>
      <c r="H32" s="15">
        <v>41768</v>
      </c>
      <c r="I32">
        <v>376.5</v>
      </c>
      <c r="J32">
        <v>10000</v>
      </c>
      <c r="K32" s="28">
        <v>2.25</v>
      </c>
    </row>
    <row r="33" spans="1:12" ht="15" customHeight="1" x14ac:dyDescent="0.2">
      <c r="A33" s="28" t="s">
        <v>9</v>
      </c>
      <c r="B33" s="2" t="s">
        <v>29</v>
      </c>
      <c r="C33" s="30">
        <v>0.25</v>
      </c>
      <c r="D33" s="28">
        <f>YEAR(TableauFlitrage[[#This Row],[Date_d_adjudication]])</f>
        <v>2013</v>
      </c>
      <c r="E33" s="28">
        <f t="shared" si="0"/>
        <v>5</v>
      </c>
      <c r="F33" s="15">
        <v>41402</v>
      </c>
      <c r="G33" s="28">
        <v>99.625888888888895</v>
      </c>
      <c r="H33" s="15">
        <v>41495</v>
      </c>
      <c r="I33">
        <v>405</v>
      </c>
      <c r="J33">
        <v>10000</v>
      </c>
      <c r="K33" s="28">
        <v>1.48</v>
      </c>
    </row>
    <row r="34" spans="1:12" ht="15" customHeight="1" x14ac:dyDescent="0.2">
      <c r="A34" s="28" t="s">
        <v>9</v>
      </c>
      <c r="B34" s="2" t="s">
        <v>29</v>
      </c>
      <c r="C34" s="30">
        <v>0.25</v>
      </c>
      <c r="D34" s="28">
        <f>YEAR(TableauFlitrage[[#This Row],[Date_d_adjudication]])</f>
        <v>2013</v>
      </c>
      <c r="E34" s="28">
        <f t="shared" si="0"/>
        <v>5</v>
      </c>
      <c r="F34" s="15">
        <v>41416</v>
      </c>
      <c r="G34" s="28">
        <v>99.625888888888895</v>
      </c>
      <c r="H34" s="15">
        <v>41509</v>
      </c>
      <c r="I34">
        <v>270</v>
      </c>
      <c r="J34">
        <v>15000</v>
      </c>
      <c r="K34" s="28">
        <v>1.48</v>
      </c>
    </row>
    <row r="35" spans="1:12" ht="15" customHeight="1" x14ac:dyDescent="0.2">
      <c r="A35" s="28" t="s">
        <v>7</v>
      </c>
      <c r="B35" t="s">
        <v>30</v>
      </c>
      <c r="C35" s="30" t="s">
        <v>53</v>
      </c>
      <c r="D35" s="28">
        <f>YEAR(TableauFlitrage[[#This Row],[Date_d_adjudication]])</f>
        <v>2013</v>
      </c>
      <c r="E35" s="28">
        <f t="shared" si="0"/>
        <v>6</v>
      </c>
      <c r="F35" s="15">
        <v>41430</v>
      </c>
      <c r="G35" s="28">
        <v>100.38</v>
      </c>
      <c r="H35" s="15">
        <v>42163</v>
      </c>
      <c r="I35">
        <v>87.29</v>
      </c>
      <c r="K35" s="28">
        <v>4</v>
      </c>
      <c r="L35">
        <v>3.9842249423464366</v>
      </c>
    </row>
    <row r="36" spans="1:12" ht="15" customHeight="1" x14ac:dyDescent="0.2">
      <c r="A36" s="28" t="s">
        <v>7</v>
      </c>
      <c r="B36" s="2" t="s">
        <v>29</v>
      </c>
      <c r="C36" s="30">
        <v>0.25</v>
      </c>
      <c r="D36" s="28">
        <f>YEAR(TableauFlitrage[[#This Row],[Date_d_adjudication]])</f>
        <v>2013</v>
      </c>
      <c r="E36" s="28">
        <f t="shared" si="0"/>
        <v>6</v>
      </c>
      <c r="F36" s="15">
        <v>41437</v>
      </c>
      <c r="G36" s="28">
        <v>99.671388888888885</v>
      </c>
      <c r="H36" s="15">
        <v>41530</v>
      </c>
      <c r="I36">
        <v>590</v>
      </c>
      <c r="J36">
        <v>5000</v>
      </c>
      <c r="K36" s="28">
        <v>1.3</v>
      </c>
    </row>
    <row r="37" spans="1:12" ht="15" customHeight="1" x14ac:dyDescent="0.2">
      <c r="A37" s="28" t="s">
        <v>9</v>
      </c>
      <c r="B37" s="2" t="s">
        <v>29</v>
      </c>
      <c r="C37" s="30">
        <v>0.25</v>
      </c>
      <c r="D37" s="28">
        <f>YEAR(TableauFlitrage[[#This Row],[Date_d_adjudication]])</f>
        <v>2013</v>
      </c>
      <c r="E37" s="28">
        <f t="shared" si="0"/>
        <v>6</v>
      </c>
      <c r="F37" s="15">
        <v>41437</v>
      </c>
      <c r="G37" s="28">
        <v>99.60819444444445</v>
      </c>
      <c r="H37" s="15">
        <v>41530</v>
      </c>
      <c r="I37">
        <v>226.7</v>
      </c>
      <c r="J37">
        <v>15000</v>
      </c>
      <c r="K37" s="28">
        <v>1.55</v>
      </c>
    </row>
    <row r="38" spans="1:12" ht="15" customHeight="1" x14ac:dyDescent="0.2">
      <c r="A38" s="28" t="s">
        <v>14</v>
      </c>
      <c r="B38" s="2" t="s">
        <v>29</v>
      </c>
      <c r="C38" s="30">
        <v>0.5</v>
      </c>
      <c r="D38" s="28">
        <f>YEAR(TableauFlitrage[[#This Row],[Date_d_adjudication]])</f>
        <v>2013</v>
      </c>
      <c r="E38" s="28">
        <f t="shared" si="0"/>
        <v>6</v>
      </c>
      <c r="F38" s="15">
        <v>41445</v>
      </c>
      <c r="G38" s="28">
        <v>97.360416666666666</v>
      </c>
      <c r="H38" s="15">
        <v>41628</v>
      </c>
      <c r="I38">
        <v>100</v>
      </c>
      <c r="J38">
        <v>3000</v>
      </c>
      <c r="K38" s="28">
        <v>5.25</v>
      </c>
    </row>
    <row r="39" spans="1:12" ht="15" customHeight="1" x14ac:dyDescent="0.2">
      <c r="A39" s="28" t="s">
        <v>9</v>
      </c>
      <c r="B39" s="2" t="s">
        <v>29</v>
      </c>
      <c r="C39" s="30">
        <v>0.25</v>
      </c>
      <c r="D39" s="28">
        <f>YEAR(TableauFlitrage[[#This Row],[Date_d_adjudication]])</f>
        <v>2013</v>
      </c>
      <c r="E39" s="28">
        <f t="shared" si="0"/>
        <v>6</v>
      </c>
      <c r="F39" s="15">
        <v>41451</v>
      </c>
      <c r="G39" s="28">
        <v>99.651166666666668</v>
      </c>
      <c r="H39" s="15">
        <v>41544</v>
      </c>
      <c r="I39">
        <v>268.5</v>
      </c>
      <c r="J39">
        <v>10000</v>
      </c>
      <c r="K39" s="28">
        <v>1.38</v>
      </c>
    </row>
    <row r="40" spans="1:12" ht="15" customHeight="1" x14ac:dyDescent="0.2">
      <c r="A40" s="28" t="s">
        <v>7</v>
      </c>
      <c r="B40" s="2" t="s">
        <v>29</v>
      </c>
      <c r="C40" s="30">
        <v>1</v>
      </c>
      <c r="D40" s="28">
        <f>YEAR(TableauFlitrage[[#This Row],[Date_d_adjudication]])</f>
        <v>2013</v>
      </c>
      <c r="E40" s="28">
        <f t="shared" si="0"/>
        <v>6</v>
      </c>
      <c r="F40" s="15">
        <v>41451</v>
      </c>
      <c r="G40" s="28">
        <v>98.099111111111114</v>
      </c>
      <c r="H40" s="15">
        <v>41817</v>
      </c>
      <c r="I40">
        <v>407.5</v>
      </c>
      <c r="J40">
        <v>10000</v>
      </c>
      <c r="K40" s="28">
        <v>1.88</v>
      </c>
    </row>
    <row r="41" spans="1:12" ht="15" customHeight="1" x14ac:dyDescent="0.2">
      <c r="A41" s="28" t="s">
        <v>9</v>
      </c>
      <c r="B41" s="2" t="s">
        <v>29</v>
      </c>
      <c r="C41" s="30">
        <v>0.25</v>
      </c>
      <c r="D41" s="28">
        <f>YEAR(TableauFlitrage[[#This Row],[Date_d_adjudication]])</f>
        <v>2013</v>
      </c>
      <c r="E41" s="28">
        <f t="shared" si="0"/>
        <v>7</v>
      </c>
      <c r="F41" s="15">
        <v>41465</v>
      </c>
      <c r="G41" s="28">
        <v>99.663805555555555</v>
      </c>
      <c r="H41" s="15">
        <v>41558</v>
      </c>
      <c r="I41">
        <v>222.00000000000003</v>
      </c>
      <c r="J41">
        <v>15000</v>
      </c>
      <c r="K41" s="28">
        <v>1.33</v>
      </c>
    </row>
    <row r="42" spans="1:12" ht="15" customHeight="1" x14ac:dyDescent="0.2">
      <c r="A42" s="28" t="s">
        <v>9</v>
      </c>
      <c r="B42" s="2" t="s">
        <v>29</v>
      </c>
      <c r="C42" s="30">
        <v>0.25</v>
      </c>
      <c r="D42" s="28">
        <f>YEAR(TableauFlitrage[[#This Row],[Date_d_adjudication]])</f>
        <v>2013</v>
      </c>
      <c r="E42" s="28">
        <f t="shared" si="0"/>
        <v>7</v>
      </c>
      <c r="F42" s="15">
        <v>41479</v>
      </c>
      <c r="G42" s="28">
        <v>99.657486111111112</v>
      </c>
      <c r="H42" s="15">
        <v>41572</v>
      </c>
      <c r="I42">
        <v>160</v>
      </c>
      <c r="J42">
        <v>10000</v>
      </c>
      <c r="K42" s="28">
        <v>1.355</v>
      </c>
    </row>
    <row r="43" spans="1:12" ht="15" customHeight="1" x14ac:dyDescent="0.2">
      <c r="A43" s="28" t="s">
        <v>7</v>
      </c>
      <c r="B43" s="2" t="s">
        <v>29</v>
      </c>
      <c r="C43" s="30">
        <v>1</v>
      </c>
      <c r="D43" s="28">
        <f>YEAR(TableauFlitrage[[#This Row],[Date_d_adjudication]])</f>
        <v>2013</v>
      </c>
      <c r="E43" s="28">
        <f t="shared" si="0"/>
        <v>7</v>
      </c>
      <c r="F43" s="15">
        <v>41479</v>
      </c>
      <c r="G43" s="28">
        <v>98.028333333333336</v>
      </c>
      <c r="H43" s="15">
        <v>41845</v>
      </c>
      <c r="I43">
        <v>204.1</v>
      </c>
      <c r="J43">
        <v>10000</v>
      </c>
      <c r="K43" s="28">
        <v>1.95</v>
      </c>
    </row>
    <row r="44" spans="1:12" ht="15" customHeight="1" x14ac:dyDescent="0.2">
      <c r="A44" s="28" t="s">
        <v>9</v>
      </c>
      <c r="B44" t="s">
        <v>30</v>
      </c>
      <c r="C44" s="30" t="s">
        <v>54</v>
      </c>
      <c r="D44" s="28">
        <f>YEAR(TableauFlitrage[[#This Row],[Date_d_adjudication]])</f>
        <v>2013</v>
      </c>
      <c r="E44" s="28">
        <f t="shared" si="0"/>
        <v>7</v>
      </c>
      <c r="F44" s="15">
        <v>41486</v>
      </c>
      <c r="G44" s="28">
        <v>99.92</v>
      </c>
      <c r="H44" s="15">
        <v>42584</v>
      </c>
      <c r="I44">
        <v>36.4</v>
      </c>
      <c r="J44">
        <v>25500</v>
      </c>
      <c r="K44" s="28">
        <v>4.5</v>
      </c>
      <c r="L44">
        <v>4.5036246426797932</v>
      </c>
    </row>
    <row r="45" spans="1:12" ht="15" customHeight="1" x14ac:dyDescent="0.2">
      <c r="A45" s="28" t="s">
        <v>9</v>
      </c>
      <c r="B45" s="2" t="s">
        <v>29</v>
      </c>
      <c r="C45" s="30">
        <v>0.5</v>
      </c>
      <c r="D45" s="28">
        <f>YEAR(TableauFlitrage[[#This Row],[Date_d_adjudication]])</f>
        <v>2013</v>
      </c>
      <c r="E45" s="28">
        <f t="shared" si="0"/>
        <v>8</v>
      </c>
      <c r="F45" s="15">
        <v>41500</v>
      </c>
      <c r="G45" s="28">
        <v>99.121597222222221</v>
      </c>
      <c r="H45" s="15">
        <v>41684</v>
      </c>
      <c r="I45">
        <v>113.333</v>
      </c>
      <c r="J45">
        <v>10000</v>
      </c>
      <c r="K45" s="28">
        <v>1.7375</v>
      </c>
    </row>
    <row r="46" spans="1:12" ht="15" customHeight="1" x14ac:dyDescent="0.2">
      <c r="A46" s="28" t="s">
        <v>14</v>
      </c>
      <c r="B46" s="2" t="s">
        <v>29</v>
      </c>
      <c r="C46" s="30">
        <v>0.5</v>
      </c>
      <c r="D46" s="28">
        <f>YEAR(TableauFlitrage[[#This Row],[Date_d_adjudication]])</f>
        <v>2013</v>
      </c>
      <c r="E46" s="28">
        <f t="shared" si="0"/>
        <v>8</v>
      </c>
      <c r="F46" s="15">
        <v>41507</v>
      </c>
      <c r="G46" s="28">
        <v>97.219444444444449</v>
      </c>
      <c r="H46" s="15">
        <v>41691</v>
      </c>
      <c r="I46">
        <v>100</v>
      </c>
      <c r="J46">
        <v>2500</v>
      </c>
      <c r="K46" s="28">
        <v>5.5</v>
      </c>
    </row>
    <row r="47" spans="1:12" ht="15" customHeight="1" x14ac:dyDescent="0.2">
      <c r="A47" s="28" t="s">
        <v>9</v>
      </c>
      <c r="B47" s="2" t="s">
        <v>29</v>
      </c>
      <c r="C47" s="30">
        <v>0.5</v>
      </c>
      <c r="D47" s="28">
        <f>YEAR(TableauFlitrage[[#This Row],[Date_d_adjudication]])</f>
        <v>2013</v>
      </c>
      <c r="E47" s="28">
        <f t="shared" si="0"/>
        <v>8</v>
      </c>
      <c r="F47" s="15">
        <v>41514</v>
      </c>
      <c r="G47" s="28">
        <v>99.014166666666668</v>
      </c>
      <c r="H47" s="15">
        <v>41698</v>
      </c>
      <c r="I47">
        <v>105</v>
      </c>
      <c r="J47">
        <v>9000</v>
      </c>
      <c r="K47" s="28">
        <v>1.95</v>
      </c>
    </row>
    <row r="48" spans="1:12" ht="15" customHeight="1" x14ac:dyDescent="0.2">
      <c r="A48" s="28" t="s">
        <v>7</v>
      </c>
      <c r="B48" s="2" t="s">
        <v>29</v>
      </c>
      <c r="C48" s="30">
        <v>0.25</v>
      </c>
      <c r="D48" s="28">
        <f>YEAR(TableauFlitrage[[#This Row],[Date_d_adjudication]])</f>
        <v>2013</v>
      </c>
      <c r="E48" s="28">
        <f t="shared" si="0"/>
        <v>8</v>
      </c>
      <c r="F48" s="15">
        <v>41514</v>
      </c>
      <c r="G48" s="28">
        <v>99.709305555555559</v>
      </c>
      <c r="H48" s="15">
        <v>41607</v>
      </c>
      <c r="I48">
        <v>320</v>
      </c>
      <c r="J48">
        <v>5000</v>
      </c>
      <c r="K48" s="28">
        <v>1.1499999999999999</v>
      </c>
    </row>
    <row r="49" spans="1:12" ht="15" customHeight="1" x14ac:dyDescent="0.2">
      <c r="A49" s="28" t="s">
        <v>9</v>
      </c>
      <c r="B49" s="2" t="s">
        <v>29</v>
      </c>
      <c r="C49" s="30">
        <v>0.25</v>
      </c>
      <c r="D49" s="28">
        <f>YEAR(TableauFlitrage[[#This Row],[Date_d_adjudication]])</f>
        <v>2013</v>
      </c>
      <c r="E49" s="28">
        <f t="shared" si="0"/>
        <v>9</v>
      </c>
      <c r="F49" s="15">
        <v>41521</v>
      </c>
      <c r="G49" s="28">
        <v>99.635999999999996</v>
      </c>
      <c r="H49" s="15">
        <v>41614</v>
      </c>
      <c r="I49">
        <v>133.29999999999998</v>
      </c>
      <c r="J49">
        <v>15000</v>
      </c>
      <c r="K49" s="28">
        <v>1.44</v>
      </c>
    </row>
    <row r="50" spans="1:12" ht="15" customHeight="1" x14ac:dyDescent="0.2">
      <c r="A50" s="28" t="s">
        <v>7</v>
      </c>
      <c r="B50" t="s">
        <v>30</v>
      </c>
      <c r="C50" s="30" t="s">
        <v>53</v>
      </c>
      <c r="D50" s="28">
        <f>YEAR(TableauFlitrage[[#This Row],[Date_d_adjudication]])</f>
        <v>2013</v>
      </c>
      <c r="E50" s="28">
        <f t="shared" si="0"/>
        <v>9</v>
      </c>
      <c r="F50" s="15">
        <v>41521</v>
      </c>
      <c r="G50" s="28">
        <v>98.5</v>
      </c>
      <c r="H50" s="15">
        <v>42254</v>
      </c>
      <c r="I50">
        <v>80.11</v>
      </c>
      <c r="K50" s="28">
        <v>4</v>
      </c>
      <c r="L50">
        <v>4.0634252276730267</v>
      </c>
    </row>
    <row r="51" spans="1:12" ht="15" customHeight="1" x14ac:dyDescent="0.2">
      <c r="A51" s="28" t="s">
        <v>7</v>
      </c>
      <c r="B51" s="2" t="s">
        <v>29</v>
      </c>
      <c r="C51" s="30">
        <v>1</v>
      </c>
      <c r="D51" s="28">
        <f>YEAR(TableauFlitrage[[#This Row],[Date_d_adjudication]])</f>
        <v>2013</v>
      </c>
      <c r="E51" s="28">
        <f t="shared" si="0"/>
        <v>9</v>
      </c>
      <c r="F51" s="15">
        <v>41528</v>
      </c>
      <c r="G51" s="28">
        <v>97.957555555555558</v>
      </c>
      <c r="H51" s="15">
        <v>41894</v>
      </c>
      <c r="I51">
        <v>174</v>
      </c>
      <c r="J51">
        <v>10000</v>
      </c>
      <c r="K51" s="28">
        <v>2.02</v>
      </c>
    </row>
    <row r="52" spans="1:12" ht="15" customHeight="1" x14ac:dyDescent="0.2">
      <c r="A52" s="28" t="s">
        <v>9</v>
      </c>
      <c r="B52" s="2" t="s">
        <v>29</v>
      </c>
      <c r="C52" s="30">
        <v>0.25</v>
      </c>
      <c r="D52" s="28">
        <f>YEAR(TableauFlitrage[[#This Row],[Date_d_adjudication]])</f>
        <v>2013</v>
      </c>
      <c r="E52" s="28">
        <f t="shared" si="0"/>
        <v>9</v>
      </c>
      <c r="F52" s="15">
        <v>41542</v>
      </c>
      <c r="G52" s="28">
        <v>99.574491583333327</v>
      </c>
      <c r="H52" s="15">
        <v>41635</v>
      </c>
      <c r="I52">
        <v>106.666</v>
      </c>
      <c r="J52">
        <v>15000</v>
      </c>
      <c r="K52" s="28">
        <v>1.68333</v>
      </c>
    </row>
    <row r="53" spans="1:12" ht="15" customHeight="1" x14ac:dyDescent="0.2">
      <c r="A53" s="28" t="s">
        <v>9</v>
      </c>
      <c r="B53" s="2" t="s">
        <v>29</v>
      </c>
      <c r="C53" s="30">
        <v>0.25</v>
      </c>
      <c r="D53" s="28">
        <f>YEAR(TableauFlitrage[[#This Row],[Date_d_adjudication]])</f>
        <v>2013</v>
      </c>
      <c r="E53" s="28">
        <f t="shared" si="0"/>
        <v>10</v>
      </c>
      <c r="F53" s="15">
        <v>41556</v>
      </c>
      <c r="G53" s="28">
        <v>99.54120833333333</v>
      </c>
      <c r="H53" s="15">
        <v>41649</v>
      </c>
      <c r="I53">
        <v>173.33</v>
      </c>
      <c r="J53">
        <v>15000</v>
      </c>
      <c r="K53" s="28">
        <v>1.8149999999999999</v>
      </c>
    </row>
    <row r="54" spans="1:12" ht="15" customHeight="1" x14ac:dyDescent="0.2">
      <c r="A54" s="28" t="s">
        <v>9</v>
      </c>
      <c r="B54" s="2" t="s">
        <v>29</v>
      </c>
      <c r="C54" s="30">
        <v>0.25</v>
      </c>
      <c r="D54" s="28">
        <f>YEAR(TableauFlitrage[[#This Row],[Date_d_adjudication]])</f>
        <v>2013</v>
      </c>
      <c r="E54" s="28">
        <f t="shared" si="0"/>
        <v>10</v>
      </c>
      <c r="F54" s="15">
        <v>41570</v>
      </c>
      <c r="G54" s="28">
        <v>99.534256944444451</v>
      </c>
      <c r="H54" s="15">
        <v>41663</v>
      </c>
      <c r="I54">
        <v>285</v>
      </c>
      <c r="J54">
        <v>10000</v>
      </c>
      <c r="K54" s="28">
        <v>1.8425</v>
      </c>
    </row>
    <row r="55" spans="1:12" ht="15" customHeight="1" x14ac:dyDescent="0.2">
      <c r="A55" s="28" t="s">
        <v>7</v>
      </c>
      <c r="B55" s="2" t="s">
        <v>29</v>
      </c>
      <c r="C55" s="30">
        <v>0.25</v>
      </c>
      <c r="D55" s="28">
        <f>YEAR(TableauFlitrage[[#This Row],[Date_d_adjudication]])</f>
        <v>2013</v>
      </c>
      <c r="E55" s="28">
        <f t="shared" si="0"/>
        <v>11</v>
      </c>
      <c r="F55" s="15">
        <v>41591</v>
      </c>
      <c r="G55" s="28">
        <v>99.648638888888883</v>
      </c>
      <c r="H55" s="15">
        <v>41684</v>
      </c>
      <c r="I55">
        <v>140</v>
      </c>
      <c r="J55">
        <v>10000</v>
      </c>
      <c r="K55" s="28">
        <v>1.39</v>
      </c>
    </row>
    <row r="56" spans="1:12" ht="15" customHeight="1" x14ac:dyDescent="0.2">
      <c r="A56" s="28" t="s">
        <v>9</v>
      </c>
      <c r="B56" s="2" t="s">
        <v>29</v>
      </c>
      <c r="C56" s="30">
        <v>0.25</v>
      </c>
      <c r="D56" s="28">
        <f>YEAR(TableauFlitrage[[#This Row],[Date_d_adjudication]])</f>
        <v>2013</v>
      </c>
      <c r="E56" s="28">
        <f t="shared" si="0"/>
        <v>12</v>
      </c>
      <c r="F56" s="15">
        <v>41612</v>
      </c>
      <c r="G56" s="28">
        <v>99.427261166666668</v>
      </c>
      <c r="H56" s="15">
        <v>41705</v>
      </c>
      <c r="I56">
        <v>47.5</v>
      </c>
      <c r="J56">
        <v>9500</v>
      </c>
      <c r="K56" s="28">
        <v>2.2657799999999999</v>
      </c>
    </row>
    <row r="57" spans="1:12" ht="15" customHeight="1" x14ac:dyDescent="0.2">
      <c r="A57" s="28" t="s">
        <v>7</v>
      </c>
      <c r="B57" s="2" t="s">
        <v>29</v>
      </c>
      <c r="C57" s="30">
        <v>0.5</v>
      </c>
      <c r="D57" s="28">
        <f>YEAR(TableauFlitrage[[#This Row],[Date_d_adjudication]])</f>
        <v>2013</v>
      </c>
      <c r="E57" s="28">
        <f t="shared" si="0"/>
        <v>12</v>
      </c>
      <c r="F57" s="15">
        <v>41612</v>
      </c>
      <c r="G57" s="28">
        <v>98.857085499999997</v>
      </c>
      <c r="H57" s="15">
        <v>41796</v>
      </c>
      <c r="I57">
        <v>93.300000000000011</v>
      </c>
      <c r="J57">
        <v>14000</v>
      </c>
      <c r="K57" s="28">
        <v>2.26071</v>
      </c>
    </row>
    <row r="58" spans="1:12" ht="15" customHeight="1" x14ac:dyDescent="0.2">
      <c r="A58" s="28" t="s">
        <v>7</v>
      </c>
      <c r="B58" s="2" t="s">
        <v>29</v>
      </c>
      <c r="C58" s="30">
        <v>0.25</v>
      </c>
      <c r="D58" s="28">
        <f>YEAR(TableauFlitrage[[#This Row],[Date_d_adjudication]])</f>
        <v>2013</v>
      </c>
      <c r="E58" s="28">
        <f t="shared" si="0"/>
        <v>12</v>
      </c>
      <c r="F58" s="15">
        <v>41619</v>
      </c>
      <c r="G58" s="28">
        <v>99.352888888888884</v>
      </c>
      <c r="H58" s="15">
        <v>41712</v>
      </c>
      <c r="I58">
        <v>96.67</v>
      </c>
      <c r="J58">
        <v>10000</v>
      </c>
      <c r="K58" s="28">
        <v>2.56</v>
      </c>
    </row>
    <row r="59" spans="1:12" ht="15" customHeight="1" x14ac:dyDescent="0.2">
      <c r="A59" s="28" t="s">
        <v>9</v>
      </c>
      <c r="B59" s="2" t="s">
        <v>29</v>
      </c>
      <c r="C59" s="30">
        <v>0.25</v>
      </c>
      <c r="D59" s="28">
        <f>YEAR(TableauFlitrage[[#This Row],[Date_d_adjudication]])</f>
        <v>2013</v>
      </c>
      <c r="E59" s="28">
        <f t="shared" si="0"/>
        <v>12</v>
      </c>
      <c r="F59" s="15">
        <v>41626</v>
      </c>
      <c r="G59" s="28">
        <v>99.246264694444449</v>
      </c>
      <c r="H59" s="15">
        <v>41719</v>
      </c>
      <c r="I59">
        <v>36.666600000000003</v>
      </c>
      <c r="J59">
        <v>5500</v>
      </c>
      <c r="K59" s="28">
        <v>2.9818099999999998</v>
      </c>
    </row>
    <row r="60" spans="1:12" ht="15" customHeight="1" x14ac:dyDescent="0.2">
      <c r="A60" s="28" t="s">
        <v>7</v>
      </c>
      <c r="B60" s="2" t="s">
        <v>29</v>
      </c>
      <c r="C60" s="30">
        <v>0.25</v>
      </c>
      <c r="D60" s="28">
        <f>YEAR(TableauFlitrage[[#This Row],[Date_d_adjudication]])</f>
        <v>2013</v>
      </c>
      <c r="E60" s="28">
        <f t="shared" si="0"/>
        <v>12</v>
      </c>
      <c r="F60" s="15">
        <v>41626</v>
      </c>
      <c r="G60" s="28">
        <v>99.320027777777781</v>
      </c>
      <c r="H60" s="15">
        <v>41719</v>
      </c>
      <c r="I60">
        <v>85</v>
      </c>
      <c r="J60">
        <v>7000</v>
      </c>
      <c r="K60" s="28">
        <v>2.69</v>
      </c>
    </row>
    <row r="61" spans="1:12" ht="15" customHeight="1" x14ac:dyDescent="0.2">
      <c r="A61" s="28" t="s">
        <v>14</v>
      </c>
      <c r="B61" s="2" t="s">
        <v>29</v>
      </c>
      <c r="C61" s="30">
        <v>0.5</v>
      </c>
      <c r="D61" s="28">
        <f>YEAR(TableauFlitrage[[#This Row],[Date_d_adjudication]])</f>
        <v>2013</v>
      </c>
      <c r="E61" s="28">
        <f t="shared" si="0"/>
        <v>12</v>
      </c>
      <c r="F61" s="15">
        <v>41627</v>
      </c>
      <c r="G61" s="28">
        <v>97.234722222222217</v>
      </c>
      <c r="H61" s="15">
        <v>41810</v>
      </c>
      <c r="I61">
        <v>100</v>
      </c>
      <c r="J61">
        <v>3000</v>
      </c>
      <c r="K61" s="28">
        <v>5.5</v>
      </c>
    </row>
    <row r="62" spans="1:12" ht="15" customHeight="1" x14ac:dyDescent="0.2">
      <c r="A62" s="28" t="s">
        <v>9</v>
      </c>
      <c r="B62" s="2" t="s">
        <v>29</v>
      </c>
      <c r="C62" s="30">
        <v>0.25</v>
      </c>
      <c r="D62" s="28">
        <f>YEAR(TableauFlitrage[[#This Row],[Date_d_adjudication]])</f>
        <v>2014</v>
      </c>
      <c r="E62" s="28">
        <f t="shared" si="0"/>
        <v>1</v>
      </c>
      <c r="F62" s="15">
        <v>41647</v>
      </c>
      <c r="G62" s="28">
        <v>99.135499999999993</v>
      </c>
      <c r="H62" s="15">
        <v>41740</v>
      </c>
      <c r="I62">
        <v>80</v>
      </c>
      <c r="J62">
        <v>12000</v>
      </c>
      <c r="K62" s="28">
        <v>3.42</v>
      </c>
    </row>
    <row r="63" spans="1:12" ht="15" customHeight="1" x14ac:dyDescent="0.2">
      <c r="A63" s="28" t="s">
        <v>9</v>
      </c>
      <c r="B63" s="2" t="s">
        <v>29</v>
      </c>
      <c r="C63" s="30">
        <v>0.5</v>
      </c>
      <c r="D63" s="28">
        <f>YEAR(TableauFlitrage[[#This Row],[Date_d_adjudication]])</f>
        <v>2014</v>
      </c>
      <c r="E63" s="28">
        <f t="shared" si="0"/>
        <v>1</v>
      </c>
      <c r="F63" s="15">
        <v>41661</v>
      </c>
      <c r="G63" s="28">
        <v>98.361999999999995</v>
      </c>
      <c r="H63" s="15">
        <v>41845</v>
      </c>
      <c r="I63">
        <v>210</v>
      </c>
      <c r="J63">
        <v>10000</v>
      </c>
      <c r="K63" s="28">
        <v>3.24</v>
      </c>
    </row>
    <row r="64" spans="1:12" ht="15" customHeight="1" x14ac:dyDescent="0.2">
      <c r="A64" s="28" t="s">
        <v>7</v>
      </c>
      <c r="B64" s="2" t="s">
        <v>29</v>
      </c>
      <c r="C64" s="30">
        <v>0.25</v>
      </c>
      <c r="D64" s="28">
        <f>YEAR(TableauFlitrage[[#This Row],[Date_d_adjudication]])</f>
        <v>2014</v>
      </c>
      <c r="E64" s="28">
        <f t="shared" si="0"/>
        <v>1</v>
      </c>
      <c r="F64" s="15">
        <v>41661</v>
      </c>
      <c r="G64" s="28">
        <v>99.345305555555555</v>
      </c>
      <c r="H64" s="15">
        <v>41754</v>
      </c>
      <c r="I64">
        <v>465.00000000000006</v>
      </c>
      <c r="J64">
        <v>5000</v>
      </c>
      <c r="K64" s="28">
        <v>2.59</v>
      </c>
    </row>
    <row r="65" spans="1:12" ht="15" customHeight="1" x14ac:dyDescent="0.2">
      <c r="A65" s="28" t="s">
        <v>7</v>
      </c>
      <c r="B65" s="2" t="s">
        <v>29</v>
      </c>
      <c r="C65" s="30">
        <v>0.25</v>
      </c>
      <c r="D65" s="28">
        <f>YEAR(TableauFlitrage[[#This Row],[Date_d_adjudication]])</f>
        <v>2014</v>
      </c>
      <c r="E65" s="28">
        <f t="shared" si="0"/>
        <v>1</v>
      </c>
      <c r="F65" s="15">
        <v>41668</v>
      </c>
      <c r="G65" s="28">
        <v>99.388277777777773</v>
      </c>
      <c r="H65" s="15">
        <v>41761</v>
      </c>
      <c r="I65">
        <v>509.99999999999994</v>
      </c>
      <c r="J65">
        <v>5000</v>
      </c>
      <c r="K65" s="28">
        <v>2.42</v>
      </c>
    </row>
    <row r="66" spans="1:12" ht="15" customHeight="1" x14ac:dyDescent="0.2">
      <c r="A66" s="28" t="s">
        <v>7</v>
      </c>
      <c r="B66" s="2" t="s">
        <v>29</v>
      </c>
      <c r="C66" s="30">
        <v>0.5</v>
      </c>
      <c r="D66" s="28">
        <f>YEAR(TableauFlitrage[[#This Row],[Date_d_adjudication]])</f>
        <v>2014</v>
      </c>
      <c r="E66" s="28">
        <f t="shared" ref="E66:E129" si="1">MONTH(F66)</f>
        <v>2</v>
      </c>
      <c r="F66" s="15">
        <v>41682</v>
      </c>
      <c r="G66" s="28">
        <v>98.840255555555558</v>
      </c>
      <c r="H66" s="15">
        <v>41866</v>
      </c>
      <c r="I66">
        <v>516</v>
      </c>
      <c r="J66">
        <v>5000</v>
      </c>
      <c r="K66" s="28">
        <v>2.294</v>
      </c>
    </row>
    <row r="67" spans="1:12" ht="15" customHeight="1" x14ac:dyDescent="0.2">
      <c r="A67" s="28" t="s">
        <v>14</v>
      </c>
      <c r="B67" s="2" t="s">
        <v>29</v>
      </c>
      <c r="C67" s="30">
        <v>0.5</v>
      </c>
      <c r="D67" s="28">
        <f>YEAR(TableauFlitrage[[#This Row],[Date_d_adjudication]])</f>
        <v>2014</v>
      </c>
      <c r="E67" s="28">
        <f t="shared" si="1"/>
        <v>2</v>
      </c>
      <c r="F67" s="15">
        <v>41691</v>
      </c>
      <c r="G67" s="28">
        <v>97.25</v>
      </c>
      <c r="H67" s="15">
        <v>41873</v>
      </c>
      <c r="I67">
        <v>100</v>
      </c>
      <c r="J67">
        <v>2500</v>
      </c>
      <c r="K67" s="28">
        <v>5.5</v>
      </c>
    </row>
    <row r="68" spans="1:12" ht="15" customHeight="1" x14ac:dyDescent="0.2">
      <c r="A68" s="28" t="s">
        <v>7</v>
      </c>
      <c r="B68" s="2" t="s">
        <v>29</v>
      </c>
      <c r="C68" s="30">
        <v>0.5</v>
      </c>
      <c r="D68" s="28">
        <f>YEAR(TableauFlitrage[[#This Row],[Date_d_adjudication]])</f>
        <v>2014</v>
      </c>
      <c r="E68" s="28">
        <f t="shared" si="1"/>
        <v>2</v>
      </c>
      <c r="F68" s="15">
        <v>41696</v>
      </c>
      <c r="G68" s="28">
        <v>98.998999999999995</v>
      </c>
      <c r="H68" s="15">
        <v>41880</v>
      </c>
      <c r="I68">
        <v>570</v>
      </c>
      <c r="J68">
        <v>5000</v>
      </c>
      <c r="K68" s="28">
        <v>1.98</v>
      </c>
    </row>
    <row r="69" spans="1:12" ht="15" customHeight="1" x14ac:dyDescent="0.2">
      <c r="A69" s="28" t="s">
        <v>7</v>
      </c>
      <c r="B69" s="2" t="s">
        <v>29</v>
      </c>
      <c r="C69" s="30">
        <v>0.5</v>
      </c>
      <c r="D69" s="28">
        <f>YEAR(TableauFlitrage[[#This Row],[Date_d_adjudication]])</f>
        <v>2014</v>
      </c>
      <c r="E69" s="28">
        <f t="shared" si="1"/>
        <v>3</v>
      </c>
      <c r="F69" s="15">
        <v>41710</v>
      </c>
      <c r="G69" s="28">
        <v>99.246722222222218</v>
      </c>
      <c r="H69" s="15">
        <v>41894</v>
      </c>
      <c r="I69">
        <v>501.36</v>
      </c>
      <c r="J69">
        <v>5000</v>
      </c>
      <c r="K69" s="28">
        <v>1.49</v>
      </c>
    </row>
    <row r="70" spans="1:12" ht="15" customHeight="1" x14ac:dyDescent="0.2">
      <c r="A70" s="28" t="s">
        <v>7</v>
      </c>
      <c r="B70" s="2" t="s">
        <v>29</v>
      </c>
      <c r="C70" s="30">
        <v>1</v>
      </c>
      <c r="D70" s="28">
        <f>YEAR(TableauFlitrage[[#This Row],[Date_d_adjudication]])</f>
        <v>2014</v>
      </c>
      <c r="E70" s="28">
        <f t="shared" si="1"/>
        <v>4</v>
      </c>
      <c r="F70" s="15">
        <v>41759</v>
      </c>
      <c r="G70" s="28">
        <v>98.083444444444439</v>
      </c>
      <c r="H70" s="15">
        <v>42128</v>
      </c>
      <c r="I70">
        <v>587</v>
      </c>
      <c r="J70">
        <v>5000</v>
      </c>
      <c r="K70" s="28">
        <v>1.88</v>
      </c>
    </row>
    <row r="71" spans="1:12" ht="15" customHeight="1" x14ac:dyDescent="0.2">
      <c r="A71" s="28" t="s">
        <v>7</v>
      </c>
      <c r="B71" s="2" t="s">
        <v>29</v>
      </c>
      <c r="C71" s="30">
        <v>0.5</v>
      </c>
      <c r="D71" s="28">
        <f>YEAR(TableauFlitrage[[#This Row],[Date_d_adjudication]])</f>
        <v>2014</v>
      </c>
      <c r="E71" s="28">
        <f t="shared" si="1"/>
        <v>5</v>
      </c>
      <c r="F71" s="15">
        <v>41773</v>
      </c>
      <c r="G71" s="28">
        <v>99.266944444444448</v>
      </c>
      <c r="H71" s="15">
        <v>41957</v>
      </c>
      <c r="I71">
        <v>333</v>
      </c>
      <c r="J71">
        <v>10000</v>
      </c>
      <c r="K71" s="28">
        <v>1.45</v>
      </c>
    </row>
    <row r="72" spans="1:12" ht="15" customHeight="1" x14ac:dyDescent="0.2">
      <c r="A72" s="28" t="s">
        <v>7</v>
      </c>
      <c r="B72" s="2" t="s">
        <v>29</v>
      </c>
      <c r="C72" s="30">
        <v>1</v>
      </c>
      <c r="D72" s="28">
        <f>YEAR(TableauFlitrage[[#This Row],[Date_d_adjudication]])</f>
        <v>2014</v>
      </c>
      <c r="E72" s="28">
        <f t="shared" si="1"/>
        <v>5</v>
      </c>
      <c r="F72" s="15">
        <v>41787</v>
      </c>
      <c r="G72" s="28">
        <v>98.068777777777782</v>
      </c>
      <c r="H72" s="15">
        <v>42153</v>
      </c>
      <c r="I72">
        <v>203.5</v>
      </c>
      <c r="J72">
        <v>10000</v>
      </c>
      <c r="K72" s="28">
        <v>1.91</v>
      </c>
    </row>
    <row r="73" spans="1:12" ht="15" customHeight="1" x14ac:dyDescent="0.2">
      <c r="A73" s="28" t="s">
        <v>7</v>
      </c>
      <c r="B73" s="2" t="s">
        <v>29</v>
      </c>
      <c r="C73" s="30">
        <v>0.5</v>
      </c>
      <c r="D73" s="28">
        <f>YEAR(TableauFlitrage[[#This Row],[Date_d_adjudication]])</f>
        <v>2014</v>
      </c>
      <c r="E73" s="28">
        <f t="shared" si="1"/>
        <v>6</v>
      </c>
      <c r="F73" s="15">
        <v>41794</v>
      </c>
      <c r="G73" s="28">
        <v>99.24166666666666</v>
      </c>
      <c r="H73" s="15">
        <v>41978</v>
      </c>
      <c r="I73">
        <v>197</v>
      </c>
      <c r="J73">
        <v>10000</v>
      </c>
      <c r="K73" s="28">
        <v>1.5</v>
      </c>
    </row>
    <row r="74" spans="1:12" ht="15" customHeight="1" x14ac:dyDescent="0.2">
      <c r="A74" s="28" t="s">
        <v>14</v>
      </c>
      <c r="B74" s="2" t="s">
        <v>29</v>
      </c>
      <c r="C74" s="30">
        <v>0.5</v>
      </c>
      <c r="D74" s="28">
        <f>YEAR(TableauFlitrage[[#This Row],[Date_d_adjudication]])</f>
        <v>2014</v>
      </c>
      <c r="E74" s="28">
        <f t="shared" si="1"/>
        <v>6</v>
      </c>
      <c r="F74" s="15">
        <v>41801</v>
      </c>
      <c r="G74" s="28">
        <v>97.345833333333331</v>
      </c>
      <c r="H74" s="15">
        <v>41985</v>
      </c>
      <c r="I74">
        <v>100</v>
      </c>
      <c r="J74">
        <v>3000</v>
      </c>
      <c r="K74" s="28">
        <v>5.25</v>
      </c>
    </row>
    <row r="75" spans="1:12" ht="15" customHeight="1" x14ac:dyDescent="0.2">
      <c r="A75" s="28" t="s">
        <v>7</v>
      </c>
      <c r="B75" s="2" t="s">
        <v>29</v>
      </c>
      <c r="C75" s="30">
        <v>1</v>
      </c>
      <c r="D75" s="28">
        <f>YEAR(TableauFlitrage[[#This Row],[Date_d_adjudication]])</f>
        <v>2014</v>
      </c>
      <c r="E75" s="28">
        <f t="shared" si="1"/>
        <v>6</v>
      </c>
      <c r="F75" s="15">
        <v>41815</v>
      </c>
      <c r="G75" s="28">
        <v>98.109222222222229</v>
      </c>
      <c r="H75" s="15">
        <v>42181</v>
      </c>
      <c r="I75">
        <v>357.5</v>
      </c>
      <c r="J75">
        <v>10000</v>
      </c>
      <c r="K75" s="28">
        <v>1.87</v>
      </c>
    </row>
    <row r="76" spans="1:12" ht="15" customHeight="1" x14ac:dyDescent="0.2">
      <c r="A76" s="28" t="s">
        <v>7</v>
      </c>
      <c r="B76" s="2" t="s">
        <v>29</v>
      </c>
      <c r="C76" s="30">
        <v>1</v>
      </c>
      <c r="D76" s="28">
        <f>YEAR(TableauFlitrage[[#This Row],[Date_d_adjudication]])</f>
        <v>2014</v>
      </c>
      <c r="E76" s="28">
        <f t="shared" si="1"/>
        <v>7</v>
      </c>
      <c r="F76" s="15">
        <v>41829</v>
      </c>
      <c r="G76" s="28">
        <v>98.291222222222217</v>
      </c>
      <c r="H76" s="15">
        <v>42195</v>
      </c>
      <c r="I76">
        <v>282.5</v>
      </c>
      <c r="J76">
        <v>10000</v>
      </c>
      <c r="K76" s="28">
        <v>1.69</v>
      </c>
    </row>
    <row r="77" spans="1:12" ht="15" customHeight="1" x14ac:dyDescent="0.2">
      <c r="A77" s="28" t="s">
        <v>7</v>
      </c>
      <c r="B77" s="2" t="s">
        <v>29</v>
      </c>
      <c r="C77" s="30">
        <v>0.5</v>
      </c>
      <c r="D77" s="28">
        <f>YEAR(TableauFlitrage[[#This Row],[Date_d_adjudication]])</f>
        <v>2014</v>
      </c>
      <c r="E77" s="28">
        <f t="shared" si="1"/>
        <v>7</v>
      </c>
      <c r="F77" s="15">
        <v>41850</v>
      </c>
      <c r="G77" s="28">
        <v>99.251777777777775</v>
      </c>
      <c r="H77" s="15">
        <v>42034</v>
      </c>
      <c r="I77">
        <v>378.5</v>
      </c>
      <c r="J77">
        <v>10000</v>
      </c>
      <c r="K77" s="28">
        <v>1.48</v>
      </c>
    </row>
    <row r="78" spans="1:12" ht="15" customHeight="1" x14ac:dyDescent="0.2">
      <c r="A78" s="28" t="s">
        <v>14</v>
      </c>
      <c r="B78" s="2" t="s">
        <v>29</v>
      </c>
      <c r="C78" s="30">
        <v>0.5</v>
      </c>
      <c r="D78" s="28">
        <f>YEAR(TableauFlitrage[[#This Row],[Date_d_adjudication]])</f>
        <v>2014</v>
      </c>
      <c r="E78" s="28">
        <f t="shared" si="1"/>
        <v>8</v>
      </c>
      <c r="F78" s="15">
        <v>41857</v>
      </c>
      <c r="G78" s="28">
        <v>97.219444444444449</v>
      </c>
      <c r="H78" s="15">
        <v>42041</v>
      </c>
      <c r="I78">
        <v>100</v>
      </c>
      <c r="J78">
        <v>2500</v>
      </c>
      <c r="K78" s="28">
        <v>5.5</v>
      </c>
    </row>
    <row r="79" spans="1:12" ht="15" customHeight="1" x14ac:dyDescent="0.2">
      <c r="A79" s="28" t="s">
        <v>7</v>
      </c>
      <c r="B79" t="s">
        <v>30</v>
      </c>
      <c r="C79" s="30" t="s">
        <v>53</v>
      </c>
      <c r="D79" s="28">
        <f>YEAR(TableauFlitrage[[#This Row],[Date_d_adjudication]])</f>
        <v>2014</v>
      </c>
      <c r="E79" s="28">
        <f t="shared" si="1"/>
        <v>8</v>
      </c>
      <c r="F79" s="15">
        <v>41857</v>
      </c>
      <c r="G79" s="28">
        <v>100.05</v>
      </c>
      <c r="H79" s="15">
        <v>42590</v>
      </c>
      <c r="I79">
        <v>191.55</v>
      </c>
      <c r="K79" s="28">
        <v>3.75</v>
      </c>
      <c r="L79">
        <v>3.7480389943149439</v>
      </c>
    </row>
    <row r="80" spans="1:12" ht="15" customHeight="1" x14ac:dyDescent="0.2">
      <c r="A80" s="28" t="s">
        <v>7</v>
      </c>
      <c r="B80" s="2" t="s">
        <v>29</v>
      </c>
      <c r="C80" s="30">
        <v>0.25</v>
      </c>
      <c r="D80" s="28">
        <f>YEAR(TableauFlitrage[[#This Row],[Date_d_adjudication]])</f>
        <v>2014</v>
      </c>
      <c r="E80" s="28">
        <f t="shared" si="1"/>
        <v>8</v>
      </c>
      <c r="F80" s="15">
        <v>41864</v>
      </c>
      <c r="G80" s="28">
        <v>99.675812500000006</v>
      </c>
      <c r="H80" s="15">
        <v>41957</v>
      </c>
      <c r="I80">
        <v>322.5</v>
      </c>
      <c r="J80">
        <v>10000</v>
      </c>
      <c r="K80" s="28">
        <v>1.2825</v>
      </c>
    </row>
    <row r="81" spans="1:12" ht="15" customHeight="1" x14ac:dyDescent="0.2">
      <c r="A81" s="28" t="s">
        <v>7</v>
      </c>
      <c r="B81" s="2" t="s">
        <v>29</v>
      </c>
      <c r="C81" s="30">
        <v>0.5</v>
      </c>
      <c r="D81" s="28">
        <f>YEAR(TableauFlitrage[[#This Row],[Date_d_adjudication]])</f>
        <v>2014</v>
      </c>
      <c r="E81" s="28">
        <f t="shared" si="1"/>
        <v>8</v>
      </c>
      <c r="F81" s="15">
        <v>41871</v>
      </c>
      <c r="G81" s="28">
        <v>99.231555555555559</v>
      </c>
      <c r="H81" s="15">
        <v>42055</v>
      </c>
      <c r="I81">
        <v>205.50000000000003</v>
      </c>
      <c r="J81">
        <v>10000</v>
      </c>
      <c r="K81" s="28">
        <v>1.52</v>
      </c>
    </row>
    <row r="82" spans="1:12" ht="15" customHeight="1" x14ac:dyDescent="0.2">
      <c r="A82" s="28" t="s">
        <v>9</v>
      </c>
      <c r="B82" s="2" t="s">
        <v>29</v>
      </c>
      <c r="C82" s="30">
        <v>0.5</v>
      </c>
      <c r="D82" s="28">
        <f>YEAR(TableauFlitrage[[#This Row],[Date_d_adjudication]])</f>
        <v>2014</v>
      </c>
      <c r="E82" s="28">
        <f t="shared" si="1"/>
        <v>8</v>
      </c>
      <c r="F82" s="15">
        <v>41871</v>
      </c>
      <c r="G82" s="28">
        <v>99.080520833333338</v>
      </c>
      <c r="H82" s="15">
        <v>42055</v>
      </c>
      <c r="I82">
        <v>130.625</v>
      </c>
      <c r="J82">
        <v>8000</v>
      </c>
      <c r="K82" s="28">
        <v>1.8187500000000001</v>
      </c>
    </row>
    <row r="83" spans="1:12" ht="15" customHeight="1" x14ac:dyDescent="0.2">
      <c r="A83" s="28" t="s">
        <v>9</v>
      </c>
      <c r="B83" s="2" t="s">
        <v>29</v>
      </c>
      <c r="C83" s="30">
        <v>0.5</v>
      </c>
      <c r="D83" s="28">
        <f>YEAR(TableauFlitrage[[#This Row],[Date_d_adjudication]])</f>
        <v>2014</v>
      </c>
      <c r="E83" s="28">
        <f t="shared" si="1"/>
        <v>8</v>
      </c>
      <c r="F83" s="15">
        <v>41878</v>
      </c>
      <c r="G83" s="28">
        <v>98.761388888888888</v>
      </c>
      <c r="H83" s="15">
        <v>42062</v>
      </c>
      <c r="I83">
        <v>110.00000000000001</v>
      </c>
      <c r="J83">
        <v>7000</v>
      </c>
      <c r="K83" s="28">
        <v>2.4500000000000002</v>
      </c>
    </row>
    <row r="84" spans="1:12" ht="15" customHeight="1" x14ac:dyDescent="0.2">
      <c r="A84" s="28" t="s">
        <v>7</v>
      </c>
      <c r="B84" s="2" t="s">
        <v>29</v>
      </c>
      <c r="C84" s="30">
        <v>0.5</v>
      </c>
      <c r="D84" s="28">
        <f>YEAR(TableauFlitrage[[#This Row],[Date_d_adjudication]])</f>
        <v>2014</v>
      </c>
      <c r="E84" s="28">
        <f t="shared" si="1"/>
        <v>9</v>
      </c>
      <c r="F84" s="15">
        <v>41885</v>
      </c>
      <c r="G84" s="28">
        <v>99.213861111111115</v>
      </c>
      <c r="H84" s="15">
        <v>42069</v>
      </c>
      <c r="I84">
        <v>213.49999999999997</v>
      </c>
      <c r="J84">
        <v>10000</v>
      </c>
      <c r="K84" s="28">
        <v>1.5549999999999999</v>
      </c>
    </row>
    <row r="85" spans="1:12" ht="15" customHeight="1" x14ac:dyDescent="0.2">
      <c r="A85" s="28" t="s">
        <v>9</v>
      </c>
      <c r="B85" s="2" t="s">
        <v>29</v>
      </c>
      <c r="C85" s="30">
        <v>0.5</v>
      </c>
      <c r="D85" s="28">
        <f>YEAR(TableauFlitrage[[#This Row],[Date_d_adjudication]])</f>
        <v>2014</v>
      </c>
      <c r="E85" s="28">
        <f t="shared" si="1"/>
        <v>9</v>
      </c>
      <c r="F85" s="15">
        <v>41892</v>
      </c>
      <c r="G85" s="28">
        <v>98.852388888888882</v>
      </c>
      <c r="H85" s="15">
        <v>42076</v>
      </c>
      <c r="I85">
        <v>106</v>
      </c>
      <c r="J85">
        <v>10000</v>
      </c>
      <c r="K85" s="28">
        <v>2.27</v>
      </c>
    </row>
    <row r="86" spans="1:12" ht="15" customHeight="1" x14ac:dyDescent="0.2">
      <c r="A86" s="28" t="s">
        <v>9</v>
      </c>
      <c r="B86" t="s">
        <v>30</v>
      </c>
      <c r="C86" s="30" t="s">
        <v>54</v>
      </c>
      <c r="D86" s="28">
        <f>YEAR(TableauFlitrage[[#This Row],[Date_d_adjudication]])</f>
        <v>2014</v>
      </c>
      <c r="E86" s="28">
        <f t="shared" si="1"/>
        <v>9</v>
      </c>
      <c r="F86" s="15">
        <v>41906</v>
      </c>
      <c r="G86" s="28">
        <v>98.89</v>
      </c>
      <c r="H86" s="15">
        <v>43004</v>
      </c>
      <c r="I86">
        <v>74.400000000000006</v>
      </c>
      <c r="J86">
        <v>26050</v>
      </c>
      <c r="K86" s="28">
        <v>5.3</v>
      </c>
      <c r="L86">
        <v>7970.4621296391697</v>
      </c>
    </row>
    <row r="87" spans="1:12" ht="15" customHeight="1" x14ac:dyDescent="0.2">
      <c r="A87" s="28" t="s">
        <v>7</v>
      </c>
      <c r="B87" s="2" t="s">
        <v>29</v>
      </c>
      <c r="C87" s="30">
        <v>0.5</v>
      </c>
      <c r="D87" s="28">
        <f>YEAR(TableauFlitrage[[#This Row],[Date_d_adjudication]])</f>
        <v>2014</v>
      </c>
      <c r="E87" s="28">
        <f t="shared" si="1"/>
        <v>10</v>
      </c>
      <c r="F87" s="15">
        <v>41920</v>
      </c>
      <c r="G87" s="28">
        <v>99.09</v>
      </c>
      <c r="H87" s="15">
        <v>42104</v>
      </c>
      <c r="I87">
        <v>153</v>
      </c>
      <c r="J87">
        <v>4000</v>
      </c>
      <c r="K87" s="28">
        <v>1.8</v>
      </c>
    </row>
    <row r="88" spans="1:12" ht="15" customHeight="1" x14ac:dyDescent="0.2">
      <c r="A88" s="28" t="s">
        <v>9</v>
      </c>
      <c r="B88" s="2" t="s">
        <v>29</v>
      </c>
      <c r="C88" s="30">
        <v>0.5</v>
      </c>
      <c r="D88" s="28">
        <f>YEAR(TableauFlitrage[[#This Row],[Date_d_adjudication]])</f>
        <v>2014</v>
      </c>
      <c r="E88" s="28">
        <f t="shared" si="1"/>
        <v>10</v>
      </c>
      <c r="F88" s="15">
        <v>41927</v>
      </c>
      <c r="G88" s="28">
        <v>98.643255722222221</v>
      </c>
      <c r="H88" s="15">
        <v>42111</v>
      </c>
      <c r="I88">
        <v>65.333300000000008</v>
      </c>
      <c r="J88">
        <v>9800</v>
      </c>
      <c r="K88" s="28">
        <v>2.6836700000000002</v>
      </c>
    </row>
    <row r="89" spans="1:12" ht="15" customHeight="1" x14ac:dyDescent="0.2">
      <c r="A89" s="28" t="s">
        <v>11</v>
      </c>
      <c r="B89" s="2" t="s">
        <v>29</v>
      </c>
      <c r="C89" s="30">
        <v>0.25</v>
      </c>
      <c r="D89" s="28">
        <f>YEAR(TableauFlitrage[[#This Row],[Date_d_adjudication]])</f>
        <v>2014</v>
      </c>
      <c r="E89" s="28">
        <f t="shared" si="1"/>
        <v>10</v>
      </c>
      <c r="F89" s="15">
        <v>41934</v>
      </c>
      <c r="G89" s="28">
        <v>99.33645833333334</v>
      </c>
      <c r="H89" s="15">
        <v>42027</v>
      </c>
      <c r="I89">
        <v>177.5</v>
      </c>
      <c r="J89">
        <v>1000</v>
      </c>
      <c r="K89" s="28">
        <v>2.625</v>
      </c>
    </row>
    <row r="90" spans="1:12" ht="15" customHeight="1" x14ac:dyDescent="0.2">
      <c r="A90" s="28" t="s">
        <v>9</v>
      </c>
      <c r="B90" s="2" t="s">
        <v>29</v>
      </c>
      <c r="C90" s="30">
        <v>0.25</v>
      </c>
      <c r="D90" s="28">
        <f>YEAR(TableauFlitrage[[#This Row],[Date_d_adjudication]])</f>
        <v>2014</v>
      </c>
      <c r="E90" s="28">
        <f t="shared" si="1"/>
        <v>10</v>
      </c>
      <c r="F90" s="15">
        <v>41941</v>
      </c>
      <c r="G90" s="28">
        <v>99.504755250000002</v>
      </c>
      <c r="H90" s="15">
        <v>42034</v>
      </c>
      <c r="I90">
        <v>64.5</v>
      </c>
      <c r="J90">
        <v>3800</v>
      </c>
      <c r="K90" s="28">
        <v>1.9592099999999999</v>
      </c>
    </row>
    <row r="91" spans="1:12" ht="15" customHeight="1" x14ac:dyDescent="0.2">
      <c r="A91" s="28" t="s">
        <v>7</v>
      </c>
      <c r="B91" s="2" t="s">
        <v>29</v>
      </c>
      <c r="C91" s="30">
        <v>0.25</v>
      </c>
      <c r="D91" s="28">
        <f>YEAR(TableauFlitrage[[#This Row],[Date_d_adjudication]])</f>
        <v>2014</v>
      </c>
      <c r="E91" s="28">
        <f t="shared" si="1"/>
        <v>10</v>
      </c>
      <c r="F91" s="15">
        <v>41941</v>
      </c>
      <c r="G91" s="28">
        <v>99.620833333333337</v>
      </c>
      <c r="H91" s="15">
        <v>42034</v>
      </c>
      <c r="I91">
        <v>130</v>
      </c>
      <c r="J91">
        <v>7000</v>
      </c>
      <c r="K91" s="28">
        <v>1.5</v>
      </c>
    </row>
    <row r="92" spans="1:12" ht="15" customHeight="1" x14ac:dyDescent="0.2">
      <c r="A92" s="28" t="s">
        <v>7</v>
      </c>
      <c r="B92" s="2" t="s">
        <v>29</v>
      </c>
      <c r="C92" s="30">
        <v>0.5</v>
      </c>
      <c r="D92" s="28">
        <f>YEAR(TableauFlitrage[[#This Row],[Date_d_adjudication]])</f>
        <v>2014</v>
      </c>
      <c r="E92" s="28">
        <f t="shared" si="1"/>
        <v>11</v>
      </c>
      <c r="F92" s="15">
        <v>41955</v>
      </c>
      <c r="G92" s="28">
        <v>99.215999999999994</v>
      </c>
      <c r="H92" s="15">
        <v>42104</v>
      </c>
      <c r="I92">
        <v>138.32999999999998</v>
      </c>
      <c r="J92">
        <v>4500</v>
      </c>
      <c r="K92" s="28">
        <v>1.92</v>
      </c>
    </row>
    <row r="93" spans="1:12" ht="15" customHeight="1" x14ac:dyDescent="0.2">
      <c r="A93" s="28" t="s">
        <v>9</v>
      </c>
      <c r="B93" s="2" t="s">
        <v>29</v>
      </c>
      <c r="C93" s="30">
        <v>0.5</v>
      </c>
      <c r="D93" s="28">
        <f>YEAR(TableauFlitrage[[#This Row],[Date_d_adjudication]])</f>
        <v>2014</v>
      </c>
      <c r="E93" s="28">
        <f t="shared" si="1"/>
        <v>11</v>
      </c>
      <c r="F93" s="15">
        <v>41955</v>
      </c>
      <c r="G93" s="28">
        <v>98.509920500000007</v>
      </c>
      <c r="H93" s="15">
        <v>42139</v>
      </c>
      <c r="I93">
        <v>82.5</v>
      </c>
      <c r="J93">
        <v>5800</v>
      </c>
      <c r="K93" s="28">
        <v>2.9474100000000001</v>
      </c>
    </row>
    <row r="94" spans="1:12" ht="15" customHeight="1" x14ac:dyDescent="0.2">
      <c r="A94" s="28" t="s">
        <v>11</v>
      </c>
      <c r="B94" s="2" t="s">
        <v>29</v>
      </c>
      <c r="C94" s="30">
        <v>0.25</v>
      </c>
      <c r="D94" s="28">
        <f>YEAR(TableauFlitrage[[#This Row],[Date_d_adjudication]])</f>
        <v>2014</v>
      </c>
      <c r="E94" s="28">
        <f t="shared" si="1"/>
        <v>11</v>
      </c>
      <c r="F94" s="15">
        <v>41962</v>
      </c>
      <c r="G94" s="28">
        <v>99.312760416666663</v>
      </c>
      <c r="H94" s="15">
        <v>42055</v>
      </c>
      <c r="I94">
        <v>190</v>
      </c>
      <c r="J94">
        <v>8000</v>
      </c>
      <c r="K94" s="28">
        <v>2.71875</v>
      </c>
    </row>
    <row r="95" spans="1:12" ht="15" customHeight="1" x14ac:dyDescent="0.2">
      <c r="A95" s="28" t="s">
        <v>9</v>
      </c>
      <c r="B95" s="2" t="s">
        <v>29</v>
      </c>
      <c r="C95" s="30">
        <v>0.5</v>
      </c>
      <c r="D95" s="28">
        <f>YEAR(TableauFlitrage[[#This Row],[Date_d_adjudication]])</f>
        <v>2014</v>
      </c>
      <c r="E95" s="28">
        <f t="shared" si="1"/>
        <v>11</v>
      </c>
      <c r="F95" s="15">
        <v>41962</v>
      </c>
      <c r="G95" s="28">
        <v>98.336722222222221</v>
      </c>
      <c r="H95" s="15">
        <v>42146</v>
      </c>
      <c r="I95">
        <v>45</v>
      </c>
      <c r="J95">
        <v>2500</v>
      </c>
      <c r="K95" s="28">
        <v>3.29</v>
      </c>
    </row>
    <row r="96" spans="1:12" ht="15" customHeight="1" x14ac:dyDescent="0.2">
      <c r="A96" s="28" t="s">
        <v>14</v>
      </c>
      <c r="B96" s="2" t="s">
        <v>29</v>
      </c>
      <c r="C96" s="30">
        <v>0.5</v>
      </c>
      <c r="D96" s="28">
        <f>YEAR(TableauFlitrage[[#This Row],[Date_d_adjudication]])</f>
        <v>2014</v>
      </c>
      <c r="E96" s="28">
        <f t="shared" si="1"/>
        <v>12</v>
      </c>
      <c r="F96" s="15">
        <v>41976</v>
      </c>
      <c r="G96" s="28">
        <v>97.345833333333331</v>
      </c>
      <c r="H96" s="15">
        <v>42160</v>
      </c>
      <c r="I96">
        <v>100</v>
      </c>
      <c r="J96">
        <v>3000</v>
      </c>
      <c r="K96" s="28">
        <v>5.25</v>
      </c>
    </row>
    <row r="97" spans="1:12" ht="15" customHeight="1" x14ac:dyDescent="0.2">
      <c r="A97" s="28" t="s">
        <v>7</v>
      </c>
      <c r="B97" s="2" t="s">
        <v>29</v>
      </c>
      <c r="C97" s="30">
        <v>0.25</v>
      </c>
      <c r="D97" s="28">
        <f>YEAR(TableauFlitrage[[#This Row],[Date_d_adjudication]])</f>
        <v>2014</v>
      </c>
      <c r="E97" s="28">
        <f t="shared" si="1"/>
        <v>12</v>
      </c>
      <c r="F97" s="15">
        <v>41976</v>
      </c>
      <c r="G97" s="28">
        <v>99.517194444444442</v>
      </c>
      <c r="H97" s="15">
        <v>42069</v>
      </c>
      <c r="I97">
        <v>216</v>
      </c>
      <c r="J97">
        <v>4500</v>
      </c>
      <c r="K97" s="28">
        <v>1.91</v>
      </c>
    </row>
    <row r="98" spans="1:12" ht="15" customHeight="1" x14ac:dyDescent="0.2">
      <c r="A98" s="28" t="s">
        <v>11</v>
      </c>
      <c r="B98" s="2" t="s">
        <v>29</v>
      </c>
      <c r="C98" s="30">
        <v>0.25</v>
      </c>
      <c r="D98" s="28">
        <f>YEAR(TableauFlitrage[[#This Row],[Date_d_adjudication]])</f>
        <v>2014</v>
      </c>
      <c r="E98" s="28">
        <f t="shared" si="1"/>
        <v>12</v>
      </c>
      <c r="F98" s="15">
        <v>41983</v>
      </c>
      <c r="G98" s="28">
        <v>99.28969444444445</v>
      </c>
      <c r="H98" s="15">
        <v>42076</v>
      </c>
      <c r="I98">
        <v>120</v>
      </c>
      <c r="J98">
        <v>9500</v>
      </c>
      <c r="K98" s="28">
        <v>2.81</v>
      </c>
    </row>
    <row r="99" spans="1:12" ht="15" customHeight="1" x14ac:dyDescent="0.2">
      <c r="A99" s="28" t="s">
        <v>7</v>
      </c>
      <c r="B99" s="2" t="s">
        <v>29</v>
      </c>
      <c r="C99" s="30">
        <v>0.25</v>
      </c>
      <c r="D99" s="28">
        <f>YEAR(TableauFlitrage[[#This Row],[Date_d_adjudication]])</f>
        <v>2014</v>
      </c>
      <c r="E99" s="28">
        <f t="shared" si="1"/>
        <v>12</v>
      </c>
      <c r="F99" s="15">
        <v>41983</v>
      </c>
      <c r="G99" s="28">
        <v>99.52225</v>
      </c>
      <c r="H99" s="15">
        <v>42076</v>
      </c>
      <c r="I99">
        <v>126</v>
      </c>
      <c r="J99">
        <v>5000</v>
      </c>
      <c r="K99" s="28">
        <v>1.89</v>
      </c>
    </row>
    <row r="100" spans="1:12" ht="15" customHeight="1" x14ac:dyDescent="0.2">
      <c r="A100" s="28" t="s">
        <v>9</v>
      </c>
      <c r="B100" t="s">
        <v>30</v>
      </c>
      <c r="C100" s="30" t="s">
        <v>54</v>
      </c>
      <c r="D100" s="28">
        <f>YEAR(TableauFlitrage[[#This Row],[Date_d_adjudication]])</f>
        <v>2014</v>
      </c>
      <c r="E100" s="28">
        <f t="shared" si="1"/>
        <v>12</v>
      </c>
      <c r="F100" s="15">
        <v>41983</v>
      </c>
      <c r="G100" s="28">
        <v>96.88</v>
      </c>
      <c r="H100" s="15">
        <v>43081</v>
      </c>
      <c r="I100">
        <v>31.45</v>
      </c>
      <c r="J100">
        <v>11006</v>
      </c>
      <c r="K100" s="28">
        <v>5.3</v>
      </c>
      <c r="L100">
        <v>5.4713379692098263</v>
      </c>
    </row>
    <row r="101" spans="1:12" ht="15" customHeight="1" x14ac:dyDescent="0.2">
      <c r="A101" s="28" t="s">
        <v>9</v>
      </c>
      <c r="B101" s="2" t="s">
        <v>29</v>
      </c>
      <c r="C101" s="30">
        <v>0.5</v>
      </c>
      <c r="D101" s="28">
        <f>YEAR(TableauFlitrage[[#This Row],[Date_d_adjudication]])</f>
        <v>2014</v>
      </c>
      <c r="E101" s="28">
        <f t="shared" si="1"/>
        <v>12</v>
      </c>
      <c r="F101" s="15">
        <v>41990</v>
      </c>
      <c r="G101" s="28">
        <v>98.183033333333327</v>
      </c>
      <c r="H101" s="15">
        <v>42174</v>
      </c>
      <c r="I101">
        <v>136</v>
      </c>
      <c r="J101">
        <v>5000</v>
      </c>
      <c r="K101" s="28">
        <v>3.5939999999999999</v>
      </c>
    </row>
    <row r="102" spans="1:12" ht="15" customHeight="1" x14ac:dyDescent="0.2">
      <c r="A102" s="28" t="s">
        <v>11</v>
      </c>
      <c r="B102" s="2" t="s">
        <v>29</v>
      </c>
      <c r="C102" s="30">
        <v>0.25</v>
      </c>
      <c r="D102" s="28">
        <f>YEAR(TableauFlitrage[[#This Row],[Date_d_adjudication]])</f>
        <v>2014</v>
      </c>
      <c r="E102" s="28">
        <f t="shared" si="1"/>
        <v>12</v>
      </c>
      <c r="F102" s="15">
        <v>41997</v>
      </c>
      <c r="G102" s="28">
        <v>99.274527777777777</v>
      </c>
      <c r="H102" s="15">
        <v>42090</v>
      </c>
      <c r="I102">
        <v>185</v>
      </c>
      <c r="J102">
        <v>9000</v>
      </c>
      <c r="K102" s="28">
        <v>2.87</v>
      </c>
    </row>
    <row r="103" spans="1:12" ht="15" customHeight="1" x14ac:dyDescent="0.2">
      <c r="A103" s="28" t="s">
        <v>7</v>
      </c>
      <c r="B103" s="2" t="s">
        <v>29</v>
      </c>
      <c r="C103" s="30">
        <v>1</v>
      </c>
      <c r="D103" s="28">
        <f>YEAR(TableauFlitrage[[#This Row],[Date_d_adjudication]])</f>
        <v>2015</v>
      </c>
      <c r="E103" s="28">
        <f t="shared" si="1"/>
        <v>1</v>
      </c>
      <c r="F103" s="15">
        <v>42011</v>
      </c>
      <c r="G103" s="28">
        <v>97.446944444444441</v>
      </c>
      <c r="H103" s="15">
        <v>42377</v>
      </c>
      <c r="I103">
        <v>371</v>
      </c>
      <c r="J103">
        <v>5000</v>
      </c>
      <c r="K103" s="28">
        <v>2.5249999999999999</v>
      </c>
    </row>
    <row r="104" spans="1:12" ht="15" customHeight="1" x14ac:dyDescent="0.2">
      <c r="A104" s="28" t="s">
        <v>7</v>
      </c>
      <c r="B104" s="2" t="s">
        <v>29</v>
      </c>
      <c r="C104" s="30">
        <v>0.5</v>
      </c>
      <c r="D104" s="28">
        <f>YEAR(TableauFlitrage[[#This Row],[Date_d_adjudication]])</f>
        <v>2015</v>
      </c>
      <c r="E104" s="28">
        <f t="shared" si="1"/>
        <v>1</v>
      </c>
      <c r="F104" s="15">
        <v>42025</v>
      </c>
      <c r="G104" s="28">
        <v>98.991416666666666</v>
      </c>
      <c r="H104" s="15">
        <v>42209</v>
      </c>
      <c r="I104">
        <v>257.41000000000003</v>
      </c>
      <c r="J104">
        <v>10000</v>
      </c>
      <c r="K104" s="28">
        <v>1.9950000000000001</v>
      </c>
    </row>
    <row r="105" spans="1:12" ht="15" customHeight="1" x14ac:dyDescent="0.2">
      <c r="A105" s="28" t="s">
        <v>14</v>
      </c>
      <c r="B105" s="2" t="s">
        <v>29</v>
      </c>
      <c r="C105" s="30">
        <v>0.5</v>
      </c>
      <c r="D105" s="28">
        <f>YEAR(TableauFlitrage[[#This Row],[Date_d_adjudication]])</f>
        <v>2015</v>
      </c>
      <c r="E105" s="28">
        <f t="shared" si="1"/>
        <v>1</v>
      </c>
      <c r="F105" s="15">
        <v>42032</v>
      </c>
      <c r="G105" s="28">
        <v>97.345833333333331</v>
      </c>
      <c r="H105" s="15">
        <v>42216</v>
      </c>
      <c r="I105">
        <v>100</v>
      </c>
      <c r="J105">
        <v>2500</v>
      </c>
      <c r="K105" s="28">
        <v>5.25</v>
      </c>
    </row>
    <row r="106" spans="1:12" ht="15" customHeight="1" x14ac:dyDescent="0.2">
      <c r="A106" s="28" t="s">
        <v>7</v>
      </c>
      <c r="B106" s="2" t="s">
        <v>29</v>
      </c>
      <c r="C106" s="30">
        <v>0.25</v>
      </c>
      <c r="D106" s="28">
        <f>YEAR(TableauFlitrage[[#This Row],[Date_d_adjudication]])</f>
        <v>2015</v>
      </c>
      <c r="E106" s="28">
        <f t="shared" si="1"/>
        <v>2</v>
      </c>
      <c r="F106" s="15">
        <v>42039</v>
      </c>
      <c r="G106" s="28">
        <v>99.56143055555556</v>
      </c>
      <c r="H106" s="15">
        <v>42132</v>
      </c>
      <c r="I106">
        <v>425.98</v>
      </c>
      <c r="J106">
        <v>5000</v>
      </c>
      <c r="K106" s="28">
        <v>1.7350000000000001</v>
      </c>
    </row>
    <row r="107" spans="1:12" ht="15" customHeight="1" x14ac:dyDescent="0.2">
      <c r="A107" s="28" t="s">
        <v>11</v>
      </c>
      <c r="B107" s="2" t="s">
        <v>29</v>
      </c>
      <c r="C107" s="30">
        <v>0.25</v>
      </c>
      <c r="D107" s="28">
        <f>YEAR(TableauFlitrage[[#This Row],[Date_d_adjudication]])</f>
        <v>2015</v>
      </c>
      <c r="E107" s="28">
        <f t="shared" si="1"/>
        <v>2</v>
      </c>
      <c r="F107" s="15">
        <v>42046</v>
      </c>
      <c r="G107" s="28">
        <v>99.317499999999995</v>
      </c>
      <c r="H107" s="15">
        <v>42139</v>
      </c>
      <c r="I107">
        <v>195</v>
      </c>
      <c r="J107">
        <v>10000</v>
      </c>
      <c r="K107" s="28">
        <v>2.7</v>
      </c>
    </row>
    <row r="108" spans="1:12" ht="15" customHeight="1" x14ac:dyDescent="0.2">
      <c r="A108" s="28" t="s">
        <v>7</v>
      </c>
      <c r="B108" s="2" t="s">
        <v>29</v>
      </c>
      <c r="C108" s="30">
        <v>1</v>
      </c>
      <c r="D108" s="28">
        <f>YEAR(TableauFlitrage[[#This Row],[Date_d_adjudication]])</f>
        <v>2015</v>
      </c>
      <c r="E108" s="28">
        <f t="shared" si="1"/>
        <v>2</v>
      </c>
      <c r="F108" s="15">
        <v>42053</v>
      </c>
      <c r="G108" s="28">
        <v>97.816000000000003</v>
      </c>
      <c r="H108" s="15">
        <v>42419</v>
      </c>
      <c r="I108">
        <v>219.99</v>
      </c>
      <c r="J108">
        <v>10000</v>
      </c>
      <c r="K108" s="28">
        <v>2.16</v>
      </c>
    </row>
    <row r="109" spans="1:12" ht="15" customHeight="1" x14ac:dyDescent="0.2">
      <c r="A109" s="28" t="s">
        <v>9</v>
      </c>
      <c r="B109" s="2" t="s">
        <v>29</v>
      </c>
      <c r="C109" s="30">
        <v>0.5</v>
      </c>
      <c r="D109" s="28">
        <f>YEAR(TableauFlitrage[[#This Row],[Date_d_adjudication]])</f>
        <v>2015</v>
      </c>
      <c r="E109" s="28">
        <f t="shared" si="1"/>
        <v>2</v>
      </c>
      <c r="F109" s="15">
        <v>42053</v>
      </c>
      <c r="G109" s="28">
        <v>98.69061111111111</v>
      </c>
      <c r="H109" s="15">
        <v>42237</v>
      </c>
      <c r="I109">
        <v>371</v>
      </c>
      <c r="J109">
        <v>5000</v>
      </c>
      <c r="K109" s="28">
        <v>2.59</v>
      </c>
    </row>
    <row r="110" spans="1:12" ht="15" customHeight="1" x14ac:dyDescent="0.2">
      <c r="A110" s="28" t="s">
        <v>9</v>
      </c>
      <c r="B110" s="2" t="s">
        <v>29</v>
      </c>
      <c r="C110" s="30">
        <v>0.5</v>
      </c>
      <c r="D110" s="28">
        <f>YEAR(TableauFlitrage[[#This Row],[Date_d_adjudication]])</f>
        <v>2015</v>
      </c>
      <c r="E110" s="28">
        <f t="shared" si="1"/>
        <v>2</v>
      </c>
      <c r="F110" s="15">
        <v>42060</v>
      </c>
      <c r="G110" s="28">
        <v>98.908000000000001</v>
      </c>
      <c r="H110" s="15">
        <v>42244</v>
      </c>
      <c r="I110">
        <v>260</v>
      </c>
      <c r="J110">
        <v>5000</v>
      </c>
      <c r="K110" s="28">
        <v>2.16</v>
      </c>
    </row>
    <row r="111" spans="1:12" ht="15" customHeight="1" x14ac:dyDescent="0.2">
      <c r="A111" s="28" t="s">
        <v>7</v>
      </c>
      <c r="B111" s="2" t="s">
        <v>29</v>
      </c>
      <c r="C111" s="30">
        <v>1</v>
      </c>
      <c r="D111" s="28">
        <f>YEAR(TableauFlitrage[[#This Row],[Date_d_adjudication]])</f>
        <v>2015</v>
      </c>
      <c r="E111" s="28">
        <f t="shared" si="1"/>
        <v>3</v>
      </c>
      <c r="F111" s="15">
        <v>42067</v>
      </c>
      <c r="G111" s="28">
        <v>97.836222222222219</v>
      </c>
      <c r="H111" s="15">
        <v>42433</v>
      </c>
      <c r="I111">
        <v>200.5</v>
      </c>
      <c r="J111">
        <v>10000</v>
      </c>
      <c r="K111" s="28">
        <v>2.14</v>
      </c>
    </row>
    <row r="112" spans="1:12" ht="15" customHeight="1" x14ac:dyDescent="0.2">
      <c r="A112" s="28" t="s">
        <v>11</v>
      </c>
      <c r="B112" s="2" t="s">
        <v>29</v>
      </c>
      <c r="C112" s="30">
        <v>0.5</v>
      </c>
      <c r="D112" s="28">
        <f>YEAR(TableauFlitrage[[#This Row],[Date_d_adjudication]])</f>
        <v>2015</v>
      </c>
      <c r="E112" s="28">
        <f t="shared" si="1"/>
        <v>3</v>
      </c>
      <c r="F112" s="15">
        <v>42067</v>
      </c>
      <c r="G112" s="28">
        <v>98.508611111111108</v>
      </c>
      <c r="H112" s="15">
        <v>42251</v>
      </c>
      <c r="I112">
        <v>126.66999999999999</v>
      </c>
      <c r="J112">
        <v>15000</v>
      </c>
      <c r="K112" s="28">
        <v>2.95</v>
      </c>
    </row>
    <row r="113" spans="1:12" ht="15" customHeight="1" x14ac:dyDescent="0.2">
      <c r="A113" s="28" t="s">
        <v>11</v>
      </c>
      <c r="B113" s="2" t="s">
        <v>29</v>
      </c>
      <c r="C113" s="30">
        <v>0.5</v>
      </c>
      <c r="D113" s="28">
        <f>YEAR(TableauFlitrage[[#This Row],[Date_d_adjudication]])</f>
        <v>2015</v>
      </c>
      <c r="E113" s="28">
        <f t="shared" si="1"/>
        <v>3</v>
      </c>
      <c r="F113" s="15">
        <v>42081</v>
      </c>
      <c r="G113" s="28">
        <v>98.488388888888892</v>
      </c>
      <c r="H113" s="15">
        <v>42265</v>
      </c>
      <c r="I113">
        <v>126.66999999999999</v>
      </c>
      <c r="J113">
        <v>15000</v>
      </c>
      <c r="K113" s="28">
        <v>2.99</v>
      </c>
    </row>
    <row r="114" spans="1:12" ht="15" customHeight="1" x14ac:dyDescent="0.2">
      <c r="A114" s="28" t="s">
        <v>7</v>
      </c>
      <c r="B114" s="2" t="s">
        <v>29</v>
      </c>
      <c r="C114" s="30">
        <v>0.5</v>
      </c>
      <c r="D114" s="28">
        <f>YEAR(TableauFlitrage[[#This Row],[Date_d_adjudication]])</f>
        <v>2015</v>
      </c>
      <c r="E114" s="28">
        <f t="shared" si="1"/>
        <v>3</v>
      </c>
      <c r="F114" s="15">
        <v>42081</v>
      </c>
      <c r="G114" s="28">
        <v>99.069777777777773</v>
      </c>
      <c r="H114" s="15">
        <v>42265</v>
      </c>
      <c r="I114">
        <v>225.99999999999997</v>
      </c>
      <c r="J114">
        <v>5000</v>
      </c>
      <c r="K114" s="28">
        <v>1.84</v>
      </c>
    </row>
    <row r="115" spans="1:12" ht="15" customHeight="1" x14ac:dyDescent="0.2">
      <c r="A115" s="28" t="s">
        <v>9</v>
      </c>
      <c r="B115" s="2" t="s">
        <v>29</v>
      </c>
      <c r="C115" s="30">
        <v>0.5</v>
      </c>
      <c r="D115" s="28">
        <f>YEAR(TableauFlitrage[[#This Row],[Date_d_adjudication]])</f>
        <v>2015</v>
      </c>
      <c r="E115" s="28">
        <f t="shared" si="1"/>
        <v>3</v>
      </c>
      <c r="F115" s="15">
        <v>42088</v>
      </c>
      <c r="G115" s="28">
        <v>98.80957844444444</v>
      </c>
      <c r="H115" s="15">
        <v>42272</v>
      </c>
      <c r="I115">
        <v>82.5</v>
      </c>
      <c r="J115">
        <v>8000</v>
      </c>
      <c r="K115" s="28">
        <v>2.3546800000000001</v>
      </c>
    </row>
    <row r="116" spans="1:12" ht="15" customHeight="1" x14ac:dyDescent="0.2">
      <c r="A116" s="28" t="s">
        <v>7</v>
      </c>
      <c r="B116" s="2" t="s">
        <v>29</v>
      </c>
      <c r="C116" s="30">
        <v>1</v>
      </c>
      <c r="D116" s="28">
        <f>YEAR(TableauFlitrage[[#This Row],[Date_d_adjudication]])</f>
        <v>2015</v>
      </c>
      <c r="E116" s="28">
        <f t="shared" si="1"/>
        <v>4</v>
      </c>
      <c r="F116" s="15">
        <v>42102</v>
      </c>
      <c r="G116" s="28">
        <v>97.795777777777772</v>
      </c>
      <c r="H116" s="15">
        <v>42468</v>
      </c>
      <c r="I116">
        <v>130</v>
      </c>
      <c r="J116">
        <v>5000</v>
      </c>
      <c r="K116" s="28">
        <v>2.1800000000000002</v>
      </c>
    </row>
    <row r="117" spans="1:12" ht="15" customHeight="1" x14ac:dyDescent="0.2">
      <c r="A117" s="28" t="s">
        <v>9</v>
      </c>
      <c r="B117" t="s">
        <v>30</v>
      </c>
      <c r="C117" s="30" t="s">
        <v>54</v>
      </c>
      <c r="D117" s="28">
        <f>YEAR(TableauFlitrage[[#This Row],[Date_d_adjudication]])</f>
        <v>2015</v>
      </c>
      <c r="E117" s="28">
        <f t="shared" si="1"/>
        <v>4</v>
      </c>
      <c r="F117" s="15">
        <v>42102</v>
      </c>
      <c r="G117" s="28">
        <v>98.23</v>
      </c>
      <c r="H117" s="15">
        <v>43200</v>
      </c>
      <c r="I117">
        <v>83.33</v>
      </c>
      <c r="J117">
        <v>12500</v>
      </c>
      <c r="K117" s="28">
        <v>5.3</v>
      </c>
      <c r="L117">
        <v>5.3958733954363298</v>
      </c>
    </row>
    <row r="118" spans="1:12" ht="15" customHeight="1" x14ac:dyDescent="0.2">
      <c r="A118" s="28" t="s">
        <v>11</v>
      </c>
      <c r="B118" s="2" t="s">
        <v>29</v>
      </c>
      <c r="C118" s="30">
        <v>0.5</v>
      </c>
      <c r="D118" s="28">
        <f>YEAR(TableauFlitrage[[#This Row],[Date_d_adjudication]])</f>
        <v>2015</v>
      </c>
      <c r="E118" s="28">
        <f t="shared" si="1"/>
        <v>4</v>
      </c>
      <c r="F118" s="15">
        <v>42109</v>
      </c>
      <c r="G118" s="28">
        <v>98.483333333333334</v>
      </c>
      <c r="H118" s="15">
        <v>42293</v>
      </c>
      <c r="I118">
        <v>33.33</v>
      </c>
      <c r="J118">
        <v>2000</v>
      </c>
      <c r="K118" s="28">
        <v>3</v>
      </c>
    </row>
    <row r="119" spans="1:12" ht="15" customHeight="1" x14ac:dyDescent="0.2">
      <c r="A119" s="28" t="s">
        <v>9</v>
      </c>
      <c r="B119" s="2" t="s">
        <v>29</v>
      </c>
      <c r="C119" s="30">
        <v>0.5</v>
      </c>
      <c r="D119" s="28">
        <f>YEAR(TableauFlitrage[[#This Row],[Date_d_adjudication]])</f>
        <v>2015</v>
      </c>
      <c r="E119" s="28">
        <f t="shared" si="1"/>
        <v>4</v>
      </c>
      <c r="F119" s="15">
        <v>42109</v>
      </c>
      <c r="G119" s="28">
        <v>98.665333333333336</v>
      </c>
      <c r="H119" s="15">
        <v>42293</v>
      </c>
      <c r="I119">
        <v>128</v>
      </c>
      <c r="J119">
        <v>10000</v>
      </c>
      <c r="K119" s="28">
        <v>2.64</v>
      </c>
    </row>
    <row r="120" spans="1:12" ht="15" customHeight="1" x14ac:dyDescent="0.2">
      <c r="A120" s="28" t="s">
        <v>9</v>
      </c>
      <c r="B120" s="2" t="s">
        <v>29</v>
      </c>
      <c r="C120" s="30">
        <v>1</v>
      </c>
      <c r="D120" s="28">
        <f>YEAR(TableauFlitrage[[#This Row],[Date_d_adjudication]])</f>
        <v>2015</v>
      </c>
      <c r="E120" s="28">
        <f t="shared" si="1"/>
        <v>4</v>
      </c>
      <c r="F120" s="15">
        <v>42116</v>
      </c>
      <c r="G120" s="28">
        <v>96.914088888888884</v>
      </c>
      <c r="H120" s="15">
        <v>42482</v>
      </c>
      <c r="I120">
        <v>264</v>
      </c>
      <c r="J120">
        <v>5000</v>
      </c>
      <c r="K120" s="28">
        <v>3.052</v>
      </c>
    </row>
    <row r="121" spans="1:12" ht="15" customHeight="1" x14ac:dyDescent="0.2">
      <c r="A121" s="28" t="s">
        <v>7</v>
      </c>
      <c r="B121" s="2" t="s">
        <v>29</v>
      </c>
      <c r="C121" s="30">
        <v>0.5</v>
      </c>
      <c r="D121" s="28">
        <f>YEAR(TableauFlitrage[[#This Row],[Date_d_adjudication]])</f>
        <v>2015</v>
      </c>
      <c r="E121" s="28">
        <f t="shared" si="1"/>
        <v>4</v>
      </c>
      <c r="F121" s="15">
        <v>42116</v>
      </c>
      <c r="G121" s="28">
        <v>98.973722222222221</v>
      </c>
      <c r="H121" s="15">
        <v>42300</v>
      </c>
      <c r="I121">
        <v>101.2</v>
      </c>
      <c r="J121">
        <v>4500</v>
      </c>
      <c r="K121" s="28">
        <v>2.0299999999999998</v>
      </c>
    </row>
    <row r="122" spans="1:12" ht="15" customHeight="1" x14ac:dyDescent="0.2">
      <c r="A122" s="28" t="s">
        <v>7</v>
      </c>
      <c r="B122" s="2" t="s">
        <v>29</v>
      </c>
      <c r="C122" s="30">
        <v>1</v>
      </c>
      <c r="D122" s="28">
        <f>YEAR(TableauFlitrage[[#This Row],[Date_d_adjudication]])</f>
        <v>2015</v>
      </c>
      <c r="E122" s="28">
        <f t="shared" si="1"/>
        <v>5</v>
      </c>
      <c r="F122" s="15">
        <v>42130</v>
      </c>
      <c r="G122" s="28">
        <v>97.66180555555556</v>
      </c>
      <c r="H122" s="15">
        <v>42496</v>
      </c>
      <c r="I122">
        <v>168</v>
      </c>
      <c r="J122">
        <v>10000</v>
      </c>
      <c r="K122" s="28">
        <v>2.3125</v>
      </c>
    </row>
    <row r="123" spans="1:12" ht="15" customHeight="1" x14ac:dyDescent="0.2">
      <c r="A123" s="28" t="s">
        <v>11</v>
      </c>
      <c r="B123" s="2" t="s">
        <v>29</v>
      </c>
      <c r="C123" s="30">
        <v>0.5</v>
      </c>
      <c r="D123" s="28">
        <f>YEAR(TableauFlitrage[[#This Row],[Date_d_adjudication]])</f>
        <v>2015</v>
      </c>
      <c r="E123" s="28">
        <f t="shared" si="1"/>
        <v>5</v>
      </c>
      <c r="F123" s="15">
        <v>42130</v>
      </c>
      <c r="G123" s="28">
        <v>98.483333333333334</v>
      </c>
      <c r="H123" s="15">
        <v>42314</v>
      </c>
      <c r="I123">
        <v>135</v>
      </c>
      <c r="J123">
        <v>10000</v>
      </c>
      <c r="K123" s="28">
        <v>3</v>
      </c>
    </row>
    <row r="124" spans="1:12" ht="15" customHeight="1" x14ac:dyDescent="0.2">
      <c r="A124" s="28" t="s">
        <v>7</v>
      </c>
      <c r="B124" s="2" t="s">
        <v>29</v>
      </c>
      <c r="C124" s="30">
        <v>0.25</v>
      </c>
      <c r="D124" s="28">
        <f>YEAR(TableauFlitrage[[#This Row],[Date_d_adjudication]])</f>
        <v>2015</v>
      </c>
      <c r="E124" s="28">
        <f t="shared" si="1"/>
        <v>5</v>
      </c>
      <c r="F124" s="15">
        <v>42137</v>
      </c>
      <c r="G124" s="28">
        <v>99.539944444444444</v>
      </c>
      <c r="H124" s="15">
        <v>42230</v>
      </c>
      <c r="I124">
        <v>266</v>
      </c>
      <c r="J124">
        <v>5000</v>
      </c>
      <c r="K124" s="28">
        <v>1.82</v>
      </c>
    </row>
    <row r="125" spans="1:12" ht="15" customHeight="1" x14ac:dyDescent="0.2">
      <c r="A125" s="28" t="s">
        <v>9</v>
      </c>
      <c r="B125" s="2" t="s">
        <v>29</v>
      </c>
      <c r="C125" s="30">
        <v>0.5</v>
      </c>
      <c r="D125" s="28">
        <f>YEAR(TableauFlitrage[[#This Row],[Date_d_adjudication]])</f>
        <v>2015</v>
      </c>
      <c r="E125" s="28">
        <f t="shared" si="1"/>
        <v>5</v>
      </c>
      <c r="F125" s="15">
        <v>42137</v>
      </c>
      <c r="G125" s="28">
        <v>98.648902777777778</v>
      </c>
      <c r="H125" s="15">
        <v>42321</v>
      </c>
      <c r="I125">
        <v>229.99999999999997</v>
      </c>
      <c r="J125">
        <v>6000</v>
      </c>
      <c r="K125" s="28">
        <v>2.6724999999999999</v>
      </c>
    </row>
    <row r="126" spans="1:12" ht="15" customHeight="1" x14ac:dyDescent="0.2">
      <c r="A126" s="28" t="s">
        <v>9</v>
      </c>
      <c r="B126" s="2" t="s">
        <v>29</v>
      </c>
      <c r="C126" s="30">
        <v>1</v>
      </c>
      <c r="D126" s="28">
        <f>YEAR(TableauFlitrage[[#This Row],[Date_d_adjudication]])</f>
        <v>2015</v>
      </c>
      <c r="E126" s="28">
        <f t="shared" si="1"/>
        <v>5</v>
      </c>
      <c r="F126" s="15">
        <v>42144</v>
      </c>
      <c r="G126" s="28">
        <v>96.85670833333333</v>
      </c>
      <c r="H126" s="15">
        <v>42510</v>
      </c>
      <c r="I126">
        <v>145</v>
      </c>
      <c r="J126">
        <v>10000</v>
      </c>
      <c r="K126" s="28">
        <v>3.1087500000000001</v>
      </c>
    </row>
    <row r="127" spans="1:12" ht="15" customHeight="1" x14ac:dyDescent="0.2">
      <c r="A127" s="28" t="s">
        <v>14</v>
      </c>
      <c r="B127" s="2" t="s">
        <v>29</v>
      </c>
      <c r="C127" s="30">
        <v>0.5</v>
      </c>
      <c r="D127" s="28">
        <f>YEAR(TableauFlitrage[[#This Row],[Date_d_adjudication]])</f>
        <v>2015</v>
      </c>
      <c r="E127" s="28">
        <f t="shared" si="1"/>
        <v>5</v>
      </c>
      <c r="F127" s="15">
        <v>42151</v>
      </c>
      <c r="G127" s="28">
        <v>97.345833333333331</v>
      </c>
      <c r="H127" s="15">
        <v>42335</v>
      </c>
      <c r="I127">
        <v>100</v>
      </c>
      <c r="J127">
        <v>5500</v>
      </c>
      <c r="K127" s="28">
        <v>5.25</v>
      </c>
    </row>
    <row r="128" spans="1:12" ht="15" customHeight="1" x14ac:dyDescent="0.2">
      <c r="A128" s="28" t="s">
        <v>11</v>
      </c>
      <c r="B128" s="2" t="s">
        <v>29</v>
      </c>
      <c r="C128" s="30">
        <v>0.5</v>
      </c>
      <c r="D128" s="28">
        <f>YEAR(TableauFlitrage[[#This Row],[Date_d_adjudication]])</f>
        <v>2015</v>
      </c>
      <c r="E128" s="28">
        <f t="shared" si="1"/>
        <v>5</v>
      </c>
      <c r="F128" s="15">
        <v>42151</v>
      </c>
      <c r="G128" s="28">
        <v>98.385761111111108</v>
      </c>
      <c r="H128" s="15">
        <v>42335</v>
      </c>
      <c r="I128">
        <v>113.33</v>
      </c>
      <c r="J128">
        <v>11000</v>
      </c>
      <c r="K128" s="28">
        <v>3.1930000000000001</v>
      </c>
    </row>
    <row r="129" spans="1:12" ht="15" customHeight="1" x14ac:dyDescent="0.2">
      <c r="A129" s="28" t="s">
        <v>7</v>
      </c>
      <c r="B129" s="2" t="s">
        <v>29</v>
      </c>
      <c r="C129" s="30">
        <v>1</v>
      </c>
      <c r="D129" s="28">
        <f>YEAR(TableauFlitrage[[#This Row],[Date_d_adjudication]])</f>
        <v>2015</v>
      </c>
      <c r="E129" s="28">
        <f t="shared" si="1"/>
        <v>5</v>
      </c>
      <c r="F129" s="15">
        <v>42151</v>
      </c>
      <c r="G129" s="28">
        <v>97.522777777777776</v>
      </c>
      <c r="H129" s="15">
        <v>42517</v>
      </c>
      <c r="I129">
        <v>166</v>
      </c>
      <c r="J129">
        <v>5000</v>
      </c>
      <c r="K129" s="28">
        <v>2.4500000000000002</v>
      </c>
    </row>
    <row r="130" spans="1:12" ht="15" customHeight="1" x14ac:dyDescent="0.2">
      <c r="A130" s="28" t="s">
        <v>9</v>
      </c>
      <c r="B130" s="2" t="s">
        <v>29</v>
      </c>
      <c r="C130" s="30">
        <v>1</v>
      </c>
      <c r="D130" s="28">
        <f>YEAR(TableauFlitrage[[#This Row],[Date_d_adjudication]])</f>
        <v>2015</v>
      </c>
      <c r="E130" s="28">
        <f t="shared" ref="E130:E193" si="2">MONTH(F130)</f>
        <v>6</v>
      </c>
      <c r="F130" s="15">
        <v>42158</v>
      </c>
      <c r="G130" s="28">
        <v>96.547055555555559</v>
      </c>
      <c r="H130" s="15">
        <v>42524</v>
      </c>
      <c r="I130">
        <v>106</v>
      </c>
      <c r="J130">
        <v>5000</v>
      </c>
      <c r="K130" s="28">
        <v>3.415</v>
      </c>
    </row>
    <row r="131" spans="1:12" ht="15" customHeight="1" x14ac:dyDescent="0.2">
      <c r="A131" s="28" t="s">
        <v>9</v>
      </c>
      <c r="B131" s="2" t="s">
        <v>29</v>
      </c>
      <c r="C131" s="30">
        <v>0.5</v>
      </c>
      <c r="D131" s="28">
        <f>YEAR(TableauFlitrage[[#This Row],[Date_d_adjudication]])</f>
        <v>2015</v>
      </c>
      <c r="E131" s="28">
        <f t="shared" si="2"/>
        <v>6</v>
      </c>
      <c r="F131" s="15">
        <v>42165</v>
      </c>
      <c r="G131" s="28">
        <v>98.576861111111114</v>
      </c>
      <c r="H131" s="15">
        <v>42349</v>
      </c>
      <c r="I131">
        <v>138</v>
      </c>
      <c r="J131">
        <v>10000</v>
      </c>
      <c r="K131" s="28">
        <v>2.8149999999999999</v>
      </c>
    </row>
    <row r="132" spans="1:12" ht="15" customHeight="1" x14ac:dyDescent="0.2">
      <c r="A132" s="28" t="s">
        <v>7</v>
      </c>
      <c r="B132" s="2" t="s">
        <v>29</v>
      </c>
      <c r="C132" s="30">
        <v>0.25</v>
      </c>
      <c r="D132" s="28">
        <f>YEAR(TableauFlitrage[[#This Row],[Date_d_adjudication]])</f>
        <v>2015</v>
      </c>
      <c r="E132" s="28">
        <f t="shared" si="2"/>
        <v>6</v>
      </c>
      <c r="F132" s="15">
        <v>42165</v>
      </c>
      <c r="G132" s="28">
        <v>99.488124999999997</v>
      </c>
      <c r="H132" s="15">
        <v>42258</v>
      </c>
      <c r="I132">
        <v>186</v>
      </c>
      <c r="J132">
        <v>5000</v>
      </c>
      <c r="K132" s="28">
        <v>2.0249999999999999</v>
      </c>
    </row>
    <row r="133" spans="1:12" ht="15" customHeight="1" x14ac:dyDescent="0.2">
      <c r="A133" s="28" t="s">
        <v>9</v>
      </c>
      <c r="B133" s="2" t="s">
        <v>29</v>
      </c>
      <c r="C133" s="30">
        <v>1</v>
      </c>
      <c r="D133" s="28">
        <f>YEAR(TableauFlitrage[[#This Row],[Date_d_adjudication]])</f>
        <v>2015</v>
      </c>
      <c r="E133" s="28">
        <f t="shared" si="2"/>
        <v>6</v>
      </c>
      <c r="F133" s="15">
        <v>42179</v>
      </c>
      <c r="G133" s="28">
        <v>96.845333333333329</v>
      </c>
      <c r="H133" s="15">
        <v>42545</v>
      </c>
      <c r="I133">
        <v>227.99999999999997</v>
      </c>
      <c r="J133">
        <v>5000</v>
      </c>
      <c r="K133" s="28">
        <v>3.12</v>
      </c>
    </row>
    <row r="134" spans="1:12" ht="15" customHeight="1" x14ac:dyDescent="0.2">
      <c r="A134" s="28" t="s">
        <v>9</v>
      </c>
      <c r="B134" s="2" t="s">
        <v>29</v>
      </c>
      <c r="C134" s="30">
        <v>1</v>
      </c>
      <c r="D134" s="28">
        <f>YEAR(TableauFlitrage[[#This Row],[Date_d_adjudication]])</f>
        <v>2015</v>
      </c>
      <c r="E134" s="28">
        <f t="shared" si="2"/>
        <v>7</v>
      </c>
      <c r="F134" s="15">
        <v>42200</v>
      </c>
      <c r="G134" s="28">
        <v>96.870611111111117</v>
      </c>
      <c r="H134" s="15">
        <v>42566</v>
      </c>
      <c r="I134">
        <v>124</v>
      </c>
      <c r="J134">
        <v>5000</v>
      </c>
      <c r="K134" s="28">
        <v>3.0950000000000002</v>
      </c>
    </row>
    <row r="135" spans="1:12" ht="15" customHeight="1" x14ac:dyDescent="0.2">
      <c r="A135" s="28" t="s">
        <v>11</v>
      </c>
      <c r="B135" s="2" t="s">
        <v>29</v>
      </c>
      <c r="C135" s="30">
        <v>0.5</v>
      </c>
      <c r="D135" s="28">
        <f>YEAR(TableauFlitrage[[#This Row],[Date_d_adjudication]])</f>
        <v>2015</v>
      </c>
      <c r="E135" s="28">
        <f t="shared" si="2"/>
        <v>7</v>
      </c>
      <c r="F135" s="15">
        <v>42200</v>
      </c>
      <c r="G135" s="28">
        <v>98.417611111111114</v>
      </c>
      <c r="H135" s="15">
        <v>42384</v>
      </c>
      <c r="I135">
        <v>143.33000000000001</v>
      </c>
      <c r="J135">
        <v>15000</v>
      </c>
      <c r="K135" s="28">
        <v>3.13</v>
      </c>
    </row>
    <row r="136" spans="1:12" ht="15" customHeight="1" x14ac:dyDescent="0.2">
      <c r="A136" s="28" t="s">
        <v>14</v>
      </c>
      <c r="B136" s="2" t="s">
        <v>29</v>
      </c>
      <c r="C136" s="30">
        <v>0.5</v>
      </c>
      <c r="D136" s="28">
        <f>YEAR(TableauFlitrage[[#This Row],[Date_d_adjudication]])</f>
        <v>2015</v>
      </c>
      <c r="E136" s="28">
        <f t="shared" si="2"/>
        <v>7</v>
      </c>
      <c r="F136" s="15">
        <v>42207</v>
      </c>
      <c r="G136" s="28">
        <v>97.40902777777778</v>
      </c>
      <c r="H136" s="15">
        <v>42391</v>
      </c>
      <c r="I136">
        <v>80</v>
      </c>
      <c r="J136">
        <v>2500</v>
      </c>
      <c r="K136" s="28">
        <v>5.125</v>
      </c>
    </row>
    <row r="137" spans="1:12" ht="15" customHeight="1" x14ac:dyDescent="0.2">
      <c r="A137" s="28" t="s">
        <v>11</v>
      </c>
      <c r="B137" t="s">
        <v>30</v>
      </c>
      <c r="C137" s="30" t="s">
        <v>53</v>
      </c>
      <c r="D137" s="28">
        <f>YEAR(TableauFlitrage[[#This Row],[Date_d_adjudication]])</f>
        <v>2015</v>
      </c>
      <c r="E137" s="28">
        <f t="shared" si="2"/>
        <v>7</v>
      </c>
      <c r="F137" s="15">
        <v>42207</v>
      </c>
      <c r="G137" s="28">
        <v>97.775000000000006</v>
      </c>
      <c r="H137" s="15">
        <v>42940</v>
      </c>
      <c r="I137">
        <v>6.6666600000000003</v>
      </c>
      <c r="K137" s="28">
        <v>4.1500000000000004</v>
      </c>
      <c r="L137">
        <v>4.2480808933356284</v>
      </c>
    </row>
    <row r="138" spans="1:12" ht="15" customHeight="1" x14ac:dyDescent="0.2">
      <c r="A138" s="28" t="s">
        <v>7</v>
      </c>
      <c r="B138" s="2" t="s">
        <v>29</v>
      </c>
      <c r="C138" s="30">
        <v>0.25</v>
      </c>
      <c r="D138" s="28">
        <f>YEAR(TableauFlitrage[[#This Row],[Date_d_adjudication]])</f>
        <v>2015</v>
      </c>
      <c r="E138" s="28">
        <f t="shared" si="2"/>
        <v>7</v>
      </c>
      <c r="F138" s="15">
        <v>42214</v>
      </c>
      <c r="G138" s="28">
        <v>99.483827777777776</v>
      </c>
      <c r="H138" s="15">
        <v>42307</v>
      </c>
      <c r="I138">
        <v>224.00000000000003</v>
      </c>
      <c r="J138">
        <v>5000</v>
      </c>
      <c r="K138" s="28">
        <v>2.0419999999999998</v>
      </c>
    </row>
    <row r="139" spans="1:12" ht="15" customHeight="1" x14ac:dyDescent="0.2">
      <c r="A139" s="28" t="s">
        <v>11</v>
      </c>
      <c r="B139" t="s">
        <v>30</v>
      </c>
      <c r="C139" s="30" t="s">
        <v>53</v>
      </c>
      <c r="D139" s="28">
        <f>YEAR(TableauFlitrage[[#This Row],[Date_d_adjudication]])</f>
        <v>2015</v>
      </c>
      <c r="E139" s="28">
        <f t="shared" si="2"/>
        <v>7</v>
      </c>
      <c r="F139" s="15">
        <v>42214</v>
      </c>
      <c r="G139" s="28">
        <v>96.31</v>
      </c>
      <c r="H139" s="15">
        <v>42940</v>
      </c>
      <c r="I139">
        <v>78.33</v>
      </c>
      <c r="K139" s="28">
        <v>4.1500000000000004</v>
      </c>
      <c r="L139">
        <v>4.3150692205950723</v>
      </c>
    </row>
    <row r="140" spans="1:12" ht="15" customHeight="1" x14ac:dyDescent="0.2">
      <c r="A140" s="28" t="s">
        <v>7</v>
      </c>
      <c r="B140" s="2" t="s">
        <v>29</v>
      </c>
      <c r="C140" s="30">
        <v>0.25</v>
      </c>
      <c r="D140" s="28">
        <f>YEAR(TableauFlitrage[[#This Row],[Date_d_adjudication]])</f>
        <v>2015</v>
      </c>
      <c r="E140" s="28">
        <f t="shared" si="2"/>
        <v>8</v>
      </c>
      <c r="F140" s="15">
        <v>42221</v>
      </c>
      <c r="G140" s="28">
        <v>99.440729166666671</v>
      </c>
      <c r="H140" s="15">
        <v>42314</v>
      </c>
      <c r="I140">
        <v>96</v>
      </c>
      <c r="J140">
        <v>4000</v>
      </c>
      <c r="K140" s="28">
        <v>2.2124999999999999</v>
      </c>
    </row>
    <row r="141" spans="1:12" ht="15" customHeight="1" x14ac:dyDescent="0.2">
      <c r="A141" s="28" t="s">
        <v>7</v>
      </c>
      <c r="B141" s="2" t="s">
        <v>29</v>
      </c>
      <c r="C141" s="30">
        <v>0.5</v>
      </c>
      <c r="D141" s="28">
        <f>YEAR(TableauFlitrage[[#This Row],[Date_d_adjudication]])</f>
        <v>2015</v>
      </c>
      <c r="E141" s="28">
        <f t="shared" si="2"/>
        <v>8</v>
      </c>
      <c r="F141" s="15">
        <v>42235</v>
      </c>
      <c r="G141" s="28">
        <v>98.913055555555559</v>
      </c>
      <c r="H141" s="15">
        <v>42419</v>
      </c>
      <c r="I141">
        <v>246</v>
      </c>
      <c r="J141">
        <v>5000</v>
      </c>
      <c r="K141" s="28">
        <v>2.15</v>
      </c>
    </row>
    <row r="142" spans="1:12" ht="15" customHeight="1" x14ac:dyDescent="0.2">
      <c r="A142" s="28" t="s">
        <v>9</v>
      </c>
      <c r="B142" s="2" t="s">
        <v>29</v>
      </c>
      <c r="C142" s="30">
        <v>0.5</v>
      </c>
      <c r="D142" s="28">
        <f>YEAR(TableauFlitrage[[#This Row],[Date_d_adjudication]])</f>
        <v>2015</v>
      </c>
      <c r="E142" s="28">
        <f t="shared" si="2"/>
        <v>8</v>
      </c>
      <c r="F142" s="15">
        <v>42235</v>
      </c>
      <c r="G142" s="28">
        <v>98.348521888888882</v>
      </c>
      <c r="H142" s="15">
        <v>42419</v>
      </c>
      <c r="I142">
        <v>66.67</v>
      </c>
      <c r="J142">
        <v>3000</v>
      </c>
      <c r="K142" s="28">
        <v>3.2666599999999999</v>
      </c>
    </row>
    <row r="143" spans="1:12" ht="15" customHeight="1" x14ac:dyDescent="0.2">
      <c r="A143" s="28" t="s">
        <v>11</v>
      </c>
      <c r="B143" t="s">
        <v>30</v>
      </c>
      <c r="C143" s="30" t="s">
        <v>55</v>
      </c>
      <c r="D143" s="28">
        <f>YEAR(TableauFlitrage[[#This Row],[Date_d_adjudication]])</f>
        <v>2015</v>
      </c>
      <c r="E143" s="28">
        <f t="shared" si="2"/>
        <v>8</v>
      </c>
      <c r="F143" s="15">
        <v>42235</v>
      </c>
      <c r="G143" s="28">
        <v>94.23</v>
      </c>
      <c r="H143" s="15">
        <v>44064</v>
      </c>
      <c r="I143">
        <v>97.52</v>
      </c>
      <c r="K143" s="28">
        <v>4.1500000000000004</v>
      </c>
      <c r="L143">
        <v>4.404176103790113</v>
      </c>
    </row>
    <row r="144" spans="1:12" ht="15" customHeight="1" x14ac:dyDescent="0.2">
      <c r="A144" s="28" t="s">
        <v>9</v>
      </c>
      <c r="B144" s="2" t="s">
        <v>29</v>
      </c>
      <c r="C144" s="30">
        <v>1</v>
      </c>
      <c r="D144" s="28">
        <f>YEAR(TableauFlitrage[[#This Row],[Date_d_adjudication]])</f>
        <v>2015</v>
      </c>
      <c r="E144" s="28">
        <f t="shared" si="2"/>
        <v>8</v>
      </c>
      <c r="F144" s="15">
        <v>42242</v>
      </c>
      <c r="G144" s="28">
        <v>96.548440777777785</v>
      </c>
      <c r="H144" s="15">
        <v>42608</v>
      </c>
      <c r="I144">
        <v>103.33000000000001</v>
      </c>
      <c r="J144">
        <v>5500</v>
      </c>
      <c r="K144" s="28">
        <v>3.4136299999999999</v>
      </c>
    </row>
    <row r="145" spans="1:12" ht="15" customHeight="1" x14ac:dyDescent="0.2">
      <c r="A145" s="28" t="s">
        <v>7</v>
      </c>
      <c r="B145" s="2" t="s">
        <v>29</v>
      </c>
      <c r="C145" s="30">
        <v>0.25</v>
      </c>
      <c r="D145" s="28">
        <f>YEAR(TableauFlitrage[[#This Row],[Date_d_adjudication]])</f>
        <v>2015</v>
      </c>
      <c r="E145" s="28">
        <f t="shared" si="2"/>
        <v>9</v>
      </c>
      <c r="F145" s="15">
        <v>42249</v>
      </c>
      <c r="G145" s="28">
        <v>99.274168833333334</v>
      </c>
      <c r="H145" s="15">
        <v>42342</v>
      </c>
      <c r="I145">
        <v>70.399999999999991</v>
      </c>
      <c r="J145">
        <v>3500</v>
      </c>
      <c r="K145" s="28">
        <v>2.8714200000000001</v>
      </c>
    </row>
    <row r="146" spans="1:12" ht="15" customHeight="1" x14ac:dyDescent="0.2">
      <c r="A146" s="28" t="s">
        <v>11</v>
      </c>
      <c r="B146" s="2" t="s">
        <v>29</v>
      </c>
      <c r="C146" s="30">
        <v>1</v>
      </c>
      <c r="D146" s="28">
        <f>YEAR(TableauFlitrage[[#This Row],[Date_d_adjudication]])</f>
        <v>2015</v>
      </c>
      <c r="E146" s="28">
        <f t="shared" si="2"/>
        <v>9</v>
      </c>
      <c r="F146" s="15">
        <v>42249</v>
      </c>
      <c r="G146" s="28">
        <v>96.461111111111109</v>
      </c>
      <c r="H146" s="15">
        <v>42615</v>
      </c>
      <c r="I146">
        <v>92</v>
      </c>
      <c r="J146">
        <v>20000</v>
      </c>
      <c r="K146" s="28">
        <v>3.5</v>
      </c>
    </row>
    <row r="147" spans="1:12" ht="15" customHeight="1" x14ac:dyDescent="0.2">
      <c r="A147" s="28" t="s">
        <v>11</v>
      </c>
      <c r="B147" s="2" t="s">
        <v>29</v>
      </c>
      <c r="C147" s="30">
        <v>1</v>
      </c>
      <c r="D147" s="28">
        <f>YEAR(TableauFlitrage[[#This Row],[Date_d_adjudication]])</f>
        <v>2015</v>
      </c>
      <c r="E147" s="28">
        <f t="shared" si="2"/>
        <v>9</v>
      </c>
      <c r="F147" s="15">
        <v>42256</v>
      </c>
      <c r="G147" s="28">
        <v>96.461111111111109</v>
      </c>
      <c r="H147" s="15">
        <v>42622</v>
      </c>
      <c r="I147">
        <v>60</v>
      </c>
      <c r="J147">
        <v>15000</v>
      </c>
      <c r="K147" s="28">
        <v>3.5</v>
      </c>
    </row>
    <row r="148" spans="1:12" ht="15" customHeight="1" x14ac:dyDescent="0.2">
      <c r="A148" s="28" t="s">
        <v>7</v>
      </c>
      <c r="B148" s="2" t="s">
        <v>29</v>
      </c>
      <c r="C148" s="30">
        <v>0.25</v>
      </c>
      <c r="D148" s="28">
        <f>YEAR(TableauFlitrage[[#This Row],[Date_d_adjudication]])</f>
        <v>2015</v>
      </c>
      <c r="E148" s="28">
        <f t="shared" si="2"/>
        <v>9</v>
      </c>
      <c r="F148" s="15">
        <v>42256</v>
      </c>
      <c r="G148" s="28">
        <v>99.294029583333327</v>
      </c>
      <c r="H148" s="15">
        <v>42349</v>
      </c>
      <c r="I148">
        <v>102</v>
      </c>
      <c r="J148">
        <v>3500</v>
      </c>
      <c r="K148" s="28">
        <v>2.7928500000000001</v>
      </c>
    </row>
    <row r="149" spans="1:12" ht="15" customHeight="1" x14ac:dyDescent="0.2">
      <c r="A149" s="28" t="s">
        <v>9</v>
      </c>
      <c r="B149" s="2" t="s">
        <v>29</v>
      </c>
      <c r="C149" s="30">
        <v>0.5</v>
      </c>
      <c r="D149" s="28">
        <f>YEAR(TableauFlitrage[[#This Row],[Date_d_adjudication]])</f>
        <v>2015</v>
      </c>
      <c r="E149" s="28">
        <f t="shared" si="2"/>
        <v>9</v>
      </c>
      <c r="F149" s="15">
        <v>42256</v>
      </c>
      <c r="G149" s="28">
        <v>98.23181944444444</v>
      </c>
      <c r="H149" s="15">
        <v>42440</v>
      </c>
      <c r="I149">
        <v>180</v>
      </c>
      <c r="J149">
        <v>8000</v>
      </c>
      <c r="K149" s="28">
        <v>3.4975000000000001</v>
      </c>
    </row>
    <row r="150" spans="1:12" ht="15" customHeight="1" x14ac:dyDescent="0.2">
      <c r="A150" s="28" t="s">
        <v>10</v>
      </c>
      <c r="B150" s="2" t="s">
        <v>29</v>
      </c>
      <c r="C150" s="30">
        <v>1</v>
      </c>
      <c r="D150" s="28">
        <f>YEAR(TableauFlitrage[[#This Row],[Date_d_adjudication]])</f>
        <v>2015</v>
      </c>
      <c r="E150" s="28">
        <f t="shared" si="2"/>
        <v>9</v>
      </c>
      <c r="F150" s="15">
        <v>42256</v>
      </c>
      <c r="G150" s="28">
        <v>98.62488888888889</v>
      </c>
      <c r="H150" s="15">
        <v>42622</v>
      </c>
      <c r="I150">
        <v>300</v>
      </c>
      <c r="J150">
        <v>5000</v>
      </c>
      <c r="K150" s="28">
        <v>1.36</v>
      </c>
    </row>
    <row r="151" spans="1:12" ht="15" customHeight="1" x14ac:dyDescent="0.2">
      <c r="A151" s="28" t="s">
        <v>9</v>
      </c>
      <c r="B151" s="2" t="s">
        <v>29</v>
      </c>
      <c r="C151" s="30">
        <v>1</v>
      </c>
      <c r="D151" s="28">
        <f>YEAR(TableauFlitrage[[#This Row],[Date_d_adjudication]])</f>
        <v>2015</v>
      </c>
      <c r="E151" s="28">
        <f t="shared" si="2"/>
        <v>9</v>
      </c>
      <c r="F151" s="15">
        <v>42270</v>
      </c>
      <c r="G151" s="28">
        <v>96.147666666666666</v>
      </c>
      <c r="H151" s="15">
        <v>42636</v>
      </c>
      <c r="I151">
        <v>62.5</v>
      </c>
      <c r="J151">
        <v>5950</v>
      </c>
      <c r="K151" s="28">
        <v>3.81</v>
      </c>
    </row>
    <row r="152" spans="1:12" ht="15" customHeight="1" x14ac:dyDescent="0.2">
      <c r="A152" s="28" t="s">
        <v>11</v>
      </c>
      <c r="B152" t="s">
        <v>30</v>
      </c>
      <c r="C152" s="30" t="s">
        <v>55</v>
      </c>
      <c r="D152" s="28">
        <f>YEAR(TableauFlitrage[[#This Row],[Date_d_adjudication]])</f>
        <v>2015</v>
      </c>
      <c r="E152" s="28">
        <f t="shared" si="2"/>
        <v>9</v>
      </c>
      <c r="F152" s="15">
        <v>42270</v>
      </c>
      <c r="G152" s="28">
        <v>100</v>
      </c>
      <c r="H152" s="15">
        <v>44099</v>
      </c>
      <c r="I152">
        <v>40</v>
      </c>
      <c r="K152" s="28">
        <v>4.0999999999999996</v>
      </c>
      <c r="L152">
        <v>4.0999999999999996</v>
      </c>
    </row>
    <row r="153" spans="1:12" ht="15" customHeight="1" x14ac:dyDescent="0.2">
      <c r="A153" s="28" t="s">
        <v>11</v>
      </c>
      <c r="B153" t="s">
        <v>30</v>
      </c>
      <c r="C153" s="30" t="s">
        <v>55</v>
      </c>
      <c r="D153" s="28">
        <f>YEAR(TableauFlitrage[[#This Row],[Date_d_adjudication]])</f>
        <v>2015</v>
      </c>
      <c r="E153" s="28">
        <f t="shared" si="2"/>
        <v>9</v>
      </c>
      <c r="F153" s="15">
        <v>42277</v>
      </c>
      <c r="G153" s="28">
        <v>100</v>
      </c>
      <c r="H153" s="15">
        <v>44106</v>
      </c>
      <c r="I153">
        <v>40</v>
      </c>
      <c r="K153" s="28">
        <v>4.0999999999999996</v>
      </c>
      <c r="L153">
        <v>4.0999999999999996</v>
      </c>
    </row>
    <row r="154" spans="1:12" ht="15" customHeight="1" x14ac:dyDescent="0.2">
      <c r="A154" s="28" t="s">
        <v>7</v>
      </c>
      <c r="B154" s="2" t="s">
        <v>29</v>
      </c>
      <c r="C154" s="30">
        <v>0.25</v>
      </c>
      <c r="D154" s="28">
        <f>YEAR(TableauFlitrage[[#This Row],[Date_d_adjudication]])</f>
        <v>2015</v>
      </c>
      <c r="E154" s="28">
        <f t="shared" si="2"/>
        <v>10</v>
      </c>
      <c r="F154" s="15">
        <v>42284</v>
      </c>
      <c r="G154" s="28">
        <v>99.224543499999996</v>
      </c>
      <c r="H154" s="15">
        <v>42377</v>
      </c>
      <c r="I154">
        <v>159</v>
      </c>
      <c r="J154">
        <v>4650</v>
      </c>
      <c r="K154" s="28">
        <v>3.0677400000000001</v>
      </c>
    </row>
    <row r="155" spans="1:12" ht="15" customHeight="1" x14ac:dyDescent="0.2">
      <c r="A155" s="28" t="s">
        <v>9</v>
      </c>
      <c r="B155" s="2" t="s">
        <v>29</v>
      </c>
      <c r="C155" s="30">
        <v>0.25</v>
      </c>
      <c r="D155" s="28">
        <f>YEAR(TableauFlitrage[[#This Row],[Date_d_adjudication]])</f>
        <v>2015</v>
      </c>
      <c r="E155" s="28">
        <f t="shared" si="2"/>
        <v>10</v>
      </c>
      <c r="F155" s="15">
        <v>42284</v>
      </c>
      <c r="G155" s="28">
        <v>99.10263888888889</v>
      </c>
      <c r="H155" s="15">
        <v>42377</v>
      </c>
      <c r="I155">
        <v>97.330000000000013</v>
      </c>
      <c r="J155">
        <v>6000</v>
      </c>
      <c r="K155" s="28">
        <v>3.55</v>
      </c>
    </row>
    <row r="156" spans="1:12" ht="15" customHeight="1" x14ac:dyDescent="0.2">
      <c r="A156" s="28" t="s">
        <v>9</v>
      </c>
      <c r="B156" s="2" t="s">
        <v>29</v>
      </c>
      <c r="C156" s="30">
        <v>1</v>
      </c>
      <c r="D156" s="28">
        <f>YEAR(TableauFlitrage[[#This Row],[Date_d_adjudication]])</f>
        <v>2015</v>
      </c>
      <c r="E156" s="28">
        <f t="shared" si="2"/>
        <v>10</v>
      </c>
      <c r="F156" s="15">
        <v>42291</v>
      </c>
      <c r="G156" s="28">
        <v>95.743222222222215</v>
      </c>
      <c r="H156" s="15">
        <v>42657</v>
      </c>
      <c r="I156">
        <v>140</v>
      </c>
      <c r="J156">
        <v>7500</v>
      </c>
      <c r="K156" s="28">
        <v>4.21</v>
      </c>
    </row>
    <row r="157" spans="1:12" ht="15" customHeight="1" x14ac:dyDescent="0.2">
      <c r="A157" s="28" t="s">
        <v>7</v>
      </c>
      <c r="B157" s="2" t="s">
        <v>29</v>
      </c>
      <c r="C157" s="30">
        <v>0.25</v>
      </c>
      <c r="D157" s="28">
        <f>YEAR(TableauFlitrage[[#This Row],[Date_d_adjudication]])</f>
        <v>2015</v>
      </c>
      <c r="E157" s="28">
        <f t="shared" si="2"/>
        <v>10</v>
      </c>
      <c r="F157" s="15">
        <v>42305</v>
      </c>
      <c r="G157" s="28">
        <v>99.221444444444444</v>
      </c>
      <c r="H157" s="15">
        <v>42398</v>
      </c>
      <c r="I157">
        <v>250</v>
      </c>
      <c r="J157">
        <v>5000</v>
      </c>
      <c r="K157" s="28">
        <v>3.08</v>
      </c>
    </row>
    <row r="158" spans="1:12" ht="15" customHeight="1" x14ac:dyDescent="0.2">
      <c r="A158" s="28" t="s">
        <v>11</v>
      </c>
      <c r="B158" t="s">
        <v>30</v>
      </c>
      <c r="C158" s="30" t="s">
        <v>55</v>
      </c>
      <c r="D158" s="28">
        <f>YEAR(TableauFlitrage[[#This Row],[Date_d_adjudication]])</f>
        <v>2015</v>
      </c>
      <c r="E158" s="28">
        <f t="shared" si="2"/>
        <v>10</v>
      </c>
      <c r="F158" s="15">
        <v>42305</v>
      </c>
      <c r="G158" s="28">
        <v>100</v>
      </c>
      <c r="H158" s="15">
        <v>44134</v>
      </c>
      <c r="I158">
        <v>100</v>
      </c>
      <c r="K158" s="28">
        <v>4.0999999999999996</v>
      </c>
      <c r="L158">
        <v>4.0999999999999996</v>
      </c>
    </row>
    <row r="159" spans="1:12" ht="15" customHeight="1" x14ac:dyDescent="0.2">
      <c r="A159" s="28" t="s">
        <v>9</v>
      </c>
      <c r="B159" s="2" t="s">
        <v>29</v>
      </c>
      <c r="C159" s="30">
        <v>1</v>
      </c>
      <c r="D159" s="28">
        <f>YEAR(TableauFlitrage[[#This Row],[Date_d_adjudication]])</f>
        <v>2015</v>
      </c>
      <c r="E159" s="28">
        <f t="shared" si="2"/>
        <v>11</v>
      </c>
      <c r="F159" s="15">
        <v>42312</v>
      </c>
      <c r="G159" s="28">
        <v>95.919155555555562</v>
      </c>
      <c r="H159" s="15">
        <v>42678</v>
      </c>
      <c r="I159">
        <v>214</v>
      </c>
      <c r="J159">
        <v>5000</v>
      </c>
      <c r="K159" s="28">
        <v>4.0359999999999996</v>
      </c>
    </row>
    <row r="160" spans="1:12" ht="15" customHeight="1" x14ac:dyDescent="0.2">
      <c r="A160" s="28" t="s">
        <v>11</v>
      </c>
      <c r="B160" s="2" t="s">
        <v>29</v>
      </c>
      <c r="C160" s="30">
        <v>1</v>
      </c>
      <c r="D160" s="28">
        <f>YEAR(TableauFlitrage[[#This Row],[Date_d_adjudication]])</f>
        <v>2015</v>
      </c>
      <c r="E160" s="28">
        <f t="shared" si="2"/>
        <v>11</v>
      </c>
      <c r="F160" s="15">
        <v>42312</v>
      </c>
      <c r="G160" s="28">
        <v>96.643111111111111</v>
      </c>
      <c r="H160" s="15">
        <v>42678</v>
      </c>
      <c r="I160">
        <v>165</v>
      </c>
      <c r="J160">
        <v>5500</v>
      </c>
      <c r="K160" s="28">
        <v>3.32</v>
      </c>
    </row>
    <row r="161" spans="1:12" ht="15" customHeight="1" x14ac:dyDescent="0.2">
      <c r="A161" s="28" t="s">
        <v>9</v>
      </c>
      <c r="B161" s="2" t="s">
        <v>29</v>
      </c>
      <c r="C161" s="30">
        <v>0.25</v>
      </c>
      <c r="D161" s="28">
        <f>YEAR(TableauFlitrage[[#This Row],[Date_d_adjudication]])</f>
        <v>2015</v>
      </c>
      <c r="E161" s="28">
        <f t="shared" si="2"/>
        <v>11</v>
      </c>
      <c r="F161" s="15">
        <v>42319</v>
      </c>
      <c r="G161" s="28">
        <v>99.052083333333329</v>
      </c>
      <c r="H161" s="15">
        <v>42412</v>
      </c>
      <c r="I161">
        <v>216.67000000000002</v>
      </c>
      <c r="J161">
        <v>6000</v>
      </c>
      <c r="K161" s="28">
        <v>3.75</v>
      </c>
    </row>
    <row r="162" spans="1:12" ht="15" customHeight="1" x14ac:dyDescent="0.2">
      <c r="A162" s="28" t="s">
        <v>7</v>
      </c>
      <c r="B162" s="2" t="s">
        <v>29</v>
      </c>
      <c r="C162" s="30">
        <v>1</v>
      </c>
      <c r="D162" s="28">
        <f>YEAR(TableauFlitrage[[#This Row],[Date_d_adjudication]])</f>
        <v>2015</v>
      </c>
      <c r="E162" s="28">
        <f t="shared" si="2"/>
        <v>11</v>
      </c>
      <c r="F162" s="15">
        <v>42319</v>
      </c>
      <c r="G162" s="28">
        <v>96.76444444444445</v>
      </c>
      <c r="H162" s="15">
        <v>42685</v>
      </c>
      <c r="I162">
        <v>160</v>
      </c>
      <c r="J162">
        <v>5000</v>
      </c>
      <c r="K162" s="28">
        <v>3.2</v>
      </c>
    </row>
    <row r="163" spans="1:12" ht="15" customHeight="1" x14ac:dyDescent="0.2">
      <c r="A163" s="28" t="s">
        <v>11</v>
      </c>
      <c r="B163" s="2" t="s">
        <v>29</v>
      </c>
      <c r="C163" s="30">
        <v>1</v>
      </c>
      <c r="D163" s="28">
        <f>YEAR(TableauFlitrage[[#This Row],[Date_d_adjudication]])</f>
        <v>2015</v>
      </c>
      <c r="E163" s="28">
        <f t="shared" si="2"/>
        <v>11</v>
      </c>
      <c r="F163" s="15">
        <v>42326</v>
      </c>
      <c r="G163" s="28">
        <v>96.739166666666662</v>
      </c>
      <c r="H163" s="15">
        <v>42692</v>
      </c>
      <c r="I163">
        <v>103.33000000000001</v>
      </c>
      <c r="J163">
        <v>15000</v>
      </c>
      <c r="K163" s="28">
        <v>3.2250000000000001</v>
      </c>
    </row>
    <row r="164" spans="1:12" ht="15" customHeight="1" x14ac:dyDescent="0.2">
      <c r="A164" s="28" t="s">
        <v>14</v>
      </c>
      <c r="B164" s="2" t="s">
        <v>29</v>
      </c>
      <c r="C164" s="30">
        <v>0.5</v>
      </c>
      <c r="D164" s="28">
        <f>YEAR(TableauFlitrage[[#This Row],[Date_d_adjudication]])</f>
        <v>2015</v>
      </c>
      <c r="E164" s="28">
        <f t="shared" si="2"/>
        <v>11</v>
      </c>
      <c r="F164" s="15">
        <v>42326</v>
      </c>
      <c r="G164" s="28">
        <v>97.345833333333331</v>
      </c>
      <c r="H164" s="15">
        <v>42510</v>
      </c>
      <c r="I164">
        <v>100</v>
      </c>
      <c r="J164">
        <v>5500</v>
      </c>
      <c r="K164" s="28">
        <v>5.25</v>
      </c>
    </row>
    <row r="165" spans="1:12" ht="15" customHeight="1" x14ac:dyDescent="0.2">
      <c r="A165" s="28" t="s">
        <v>9</v>
      </c>
      <c r="B165" t="s">
        <v>30</v>
      </c>
      <c r="C165" s="30" t="s">
        <v>53</v>
      </c>
      <c r="D165" s="28">
        <f>YEAR(TableauFlitrage[[#This Row],[Date_d_adjudication]])</f>
        <v>2015</v>
      </c>
      <c r="E165" s="28">
        <f t="shared" si="2"/>
        <v>11</v>
      </c>
      <c r="F165" s="15">
        <v>42333</v>
      </c>
      <c r="G165" s="28">
        <v>99.2</v>
      </c>
      <c r="H165" s="15">
        <v>43066</v>
      </c>
      <c r="I165">
        <v>100</v>
      </c>
      <c r="J165">
        <v>5000</v>
      </c>
      <c r="K165" s="28">
        <v>4.5</v>
      </c>
      <c r="L165">
        <v>4.5375238960646191</v>
      </c>
    </row>
    <row r="166" spans="1:12" ht="15" customHeight="1" x14ac:dyDescent="0.2">
      <c r="A166" s="28" t="s">
        <v>9</v>
      </c>
      <c r="B166" s="2" t="s">
        <v>29</v>
      </c>
      <c r="C166" s="30">
        <v>0.25</v>
      </c>
      <c r="D166" s="28">
        <f>YEAR(TableauFlitrage[[#This Row],[Date_d_adjudication]])</f>
        <v>2015</v>
      </c>
      <c r="E166" s="28">
        <f t="shared" si="2"/>
        <v>12</v>
      </c>
      <c r="F166" s="15">
        <v>42340</v>
      </c>
      <c r="G166" s="28">
        <v>99.021540194444441</v>
      </c>
      <c r="H166" s="15">
        <v>42433</v>
      </c>
      <c r="I166">
        <v>161.666</v>
      </c>
      <c r="J166">
        <v>6000</v>
      </c>
      <c r="K166" s="28">
        <v>3.8708300000000002</v>
      </c>
    </row>
    <row r="167" spans="1:12" ht="15" customHeight="1" x14ac:dyDescent="0.2">
      <c r="A167" s="28" t="s">
        <v>9</v>
      </c>
      <c r="B167" s="2" t="s">
        <v>29</v>
      </c>
      <c r="C167" s="30">
        <v>1</v>
      </c>
      <c r="D167" s="28">
        <f>YEAR(TableauFlitrage[[#This Row],[Date_d_adjudication]])</f>
        <v>2015</v>
      </c>
      <c r="E167" s="28">
        <f t="shared" si="2"/>
        <v>12</v>
      </c>
      <c r="F167" s="15">
        <v>42347</v>
      </c>
      <c r="G167" s="28">
        <v>95.854444444444439</v>
      </c>
      <c r="H167" s="15">
        <v>42713</v>
      </c>
      <c r="I167">
        <v>130</v>
      </c>
      <c r="J167">
        <v>5000</v>
      </c>
      <c r="K167" s="28">
        <v>4.0999999999999996</v>
      </c>
    </row>
    <row r="168" spans="1:12" ht="15" customHeight="1" x14ac:dyDescent="0.2">
      <c r="A168" s="28" t="s">
        <v>7</v>
      </c>
      <c r="B168" s="2" t="s">
        <v>29</v>
      </c>
      <c r="C168" s="30">
        <v>0.25</v>
      </c>
      <c r="D168" s="28">
        <f>YEAR(TableauFlitrage[[#This Row],[Date_d_adjudication]])</f>
        <v>2015</v>
      </c>
      <c r="E168" s="28">
        <f t="shared" si="2"/>
        <v>12</v>
      </c>
      <c r="F168" s="15">
        <v>42347</v>
      </c>
      <c r="G168" s="28">
        <v>99.227763888888887</v>
      </c>
      <c r="H168" s="15">
        <v>42440</v>
      </c>
      <c r="I168">
        <v>190</v>
      </c>
      <c r="J168">
        <v>5000</v>
      </c>
      <c r="K168" s="28">
        <v>3.0550000000000002</v>
      </c>
    </row>
    <row r="169" spans="1:12" ht="15" customHeight="1" x14ac:dyDescent="0.2">
      <c r="A169" s="28" t="s">
        <v>7</v>
      </c>
      <c r="B169" s="2" t="s">
        <v>29</v>
      </c>
      <c r="C169" s="30">
        <v>0.5</v>
      </c>
      <c r="D169" s="28">
        <f>YEAR(TableauFlitrage[[#This Row],[Date_d_adjudication]])</f>
        <v>2015</v>
      </c>
      <c r="E169" s="28">
        <f t="shared" si="2"/>
        <v>12</v>
      </c>
      <c r="F169" s="15">
        <v>42354</v>
      </c>
      <c r="G169" s="28">
        <v>98.655222222222221</v>
      </c>
      <c r="H169" s="15">
        <v>42538</v>
      </c>
      <c r="I169">
        <v>196</v>
      </c>
      <c r="J169">
        <v>5000</v>
      </c>
      <c r="K169" s="28">
        <v>2.66</v>
      </c>
    </row>
    <row r="170" spans="1:12" ht="15" customHeight="1" x14ac:dyDescent="0.2">
      <c r="A170" s="28" t="s">
        <v>10</v>
      </c>
      <c r="B170" s="2" t="s">
        <v>29</v>
      </c>
      <c r="C170" s="30">
        <v>1</v>
      </c>
      <c r="D170" s="28">
        <f>YEAR(TableauFlitrage[[#This Row],[Date_d_adjudication]])</f>
        <v>2015</v>
      </c>
      <c r="E170" s="28">
        <f t="shared" si="2"/>
        <v>12</v>
      </c>
      <c r="F170" s="15">
        <v>42361</v>
      </c>
      <c r="G170" s="28">
        <v>98.402444444444441</v>
      </c>
      <c r="H170" s="15">
        <v>42727</v>
      </c>
      <c r="I170">
        <v>130</v>
      </c>
      <c r="J170">
        <v>10000</v>
      </c>
      <c r="K170" s="28">
        <v>1.58</v>
      </c>
    </row>
    <row r="171" spans="1:12" ht="15" customHeight="1" x14ac:dyDescent="0.2">
      <c r="A171" s="28" t="s">
        <v>11</v>
      </c>
      <c r="B171" s="2" t="s">
        <v>29</v>
      </c>
      <c r="C171" s="30">
        <v>1</v>
      </c>
      <c r="D171" s="28">
        <f>YEAR(TableauFlitrage[[#This Row],[Date_d_adjudication]])</f>
        <v>2015</v>
      </c>
      <c r="E171" s="28">
        <f t="shared" si="2"/>
        <v>12</v>
      </c>
      <c r="F171" s="15">
        <v>42361</v>
      </c>
      <c r="G171" s="28">
        <v>96.461111111111109</v>
      </c>
      <c r="H171" s="15">
        <v>42727</v>
      </c>
      <c r="I171">
        <v>73.33</v>
      </c>
      <c r="J171">
        <v>8500</v>
      </c>
      <c r="K171" s="28">
        <v>3.5</v>
      </c>
    </row>
    <row r="172" spans="1:12" ht="15" customHeight="1" x14ac:dyDescent="0.2">
      <c r="A172" s="28" t="s">
        <v>11</v>
      </c>
      <c r="B172" t="s">
        <v>30</v>
      </c>
      <c r="C172" s="30" t="s">
        <v>54</v>
      </c>
      <c r="D172" s="28">
        <f>YEAR(TableauFlitrage[[#This Row],[Date_d_adjudication]])</f>
        <v>2015</v>
      </c>
      <c r="E172" s="28">
        <f t="shared" si="2"/>
        <v>12</v>
      </c>
      <c r="F172" s="15">
        <v>42368</v>
      </c>
      <c r="G172" s="28">
        <v>100</v>
      </c>
      <c r="H172" s="15">
        <v>43467</v>
      </c>
      <c r="I172">
        <v>100</v>
      </c>
      <c r="K172" s="28">
        <v>4.0999999999999996</v>
      </c>
      <c r="L172">
        <v>4.0999999999999996</v>
      </c>
    </row>
    <row r="173" spans="1:12" ht="15" customHeight="1" x14ac:dyDescent="0.2">
      <c r="A173" s="28" t="s">
        <v>7</v>
      </c>
      <c r="B173" s="2" t="s">
        <v>29</v>
      </c>
      <c r="C173" s="30">
        <v>0.25</v>
      </c>
      <c r="D173" s="28">
        <f>YEAR(TableauFlitrage[[#This Row],[Date_d_adjudication]])</f>
        <v>2016</v>
      </c>
      <c r="E173" s="28">
        <f t="shared" si="2"/>
        <v>1</v>
      </c>
      <c r="F173" s="15">
        <v>42382</v>
      </c>
      <c r="G173" s="28">
        <v>99.398388888888888</v>
      </c>
      <c r="H173" s="15">
        <v>42475</v>
      </c>
      <c r="I173">
        <v>432.85999999999996</v>
      </c>
      <c r="J173">
        <v>7000</v>
      </c>
      <c r="K173" s="28">
        <v>2.38</v>
      </c>
    </row>
    <row r="174" spans="1:12" ht="15" customHeight="1" x14ac:dyDescent="0.2">
      <c r="A174" s="28" t="s">
        <v>11</v>
      </c>
      <c r="B174" s="2" t="s">
        <v>29</v>
      </c>
      <c r="C174" s="30">
        <v>0.5</v>
      </c>
      <c r="D174" s="28">
        <f>YEAR(TableauFlitrage[[#This Row],[Date_d_adjudication]])</f>
        <v>2016</v>
      </c>
      <c r="E174" s="28">
        <f t="shared" si="2"/>
        <v>1</v>
      </c>
      <c r="F174" s="15">
        <v>42382</v>
      </c>
      <c r="G174" s="28">
        <v>98.39233333333334</v>
      </c>
      <c r="H174" s="15">
        <v>42566</v>
      </c>
      <c r="I174">
        <v>73</v>
      </c>
      <c r="J174">
        <v>11000</v>
      </c>
      <c r="K174" s="28">
        <v>3.18</v>
      </c>
    </row>
    <row r="175" spans="1:12" ht="15" customHeight="1" x14ac:dyDescent="0.2">
      <c r="A175" s="28" t="s">
        <v>11</v>
      </c>
      <c r="B175" s="2" t="s">
        <v>29</v>
      </c>
      <c r="C175" s="30">
        <v>0.5</v>
      </c>
      <c r="D175" s="28">
        <f>YEAR(TableauFlitrage[[#This Row],[Date_d_adjudication]])</f>
        <v>2016</v>
      </c>
      <c r="E175" s="28">
        <f t="shared" si="2"/>
        <v>1</v>
      </c>
      <c r="F175" s="15">
        <v>42389</v>
      </c>
      <c r="G175" s="28">
        <v>98.432777777777773</v>
      </c>
      <c r="H175" s="15">
        <v>42573</v>
      </c>
      <c r="I175">
        <v>60</v>
      </c>
      <c r="J175">
        <v>9000</v>
      </c>
      <c r="K175" s="28">
        <v>3.1</v>
      </c>
    </row>
    <row r="176" spans="1:12" ht="15" customHeight="1" x14ac:dyDescent="0.2">
      <c r="A176" s="28" t="s">
        <v>14</v>
      </c>
      <c r="B176" s="2" t="s">
        <v>29</v>
      </c>
      <c r="C176" s="30">
        <v>0.5</v>
      </c>
      <c r="D176" s="28">
        <f>YEAR(TableauFlitrage[[#This Row],[Date_d_adjudication]])</f>
        <v>2016</v>
      </c>
      <c r="E176" s="28">
        <f t="shared" si="2"/>
        <v>1</v>
      </c>
      <c r="F176" s="15">
        <v>42389</v>
      </c>
      <c r="G176" s="28">
        <v>97.295277777777784</v>
      </c>
      <c r="H176" s="15">
        <v>42573</v>
      </c>
      <c r="I176">
        <v>100</v>
      </c>
      <c r="J176">
        <v>4000</v>
      </c>
      <c r="K176" s="28">
        <v>5.35</v>
      </c>
    </row>
    <row r="177" spans="1:12" ht="15" customHeight="1" x14ac:dyDescent="0.2">
      <c r="A177" s="28" t="s">
        <v>9</v>
      </c>
      <c r="B177" s="2" t="s">
        <v>29</v>
      </c>
      <c r="C177" s="30">
        <v>0.25</v>
      </c>
      <c r="D177" s="28">
        <f>YEAR(TableauFlitrage[[#This Row],[Date_d_adjudication]])</f>
        <v>2016</v>
      </c>
      <c r="E177" s="28">
        <f t="shared" si="2"/>
        <v>1</v>
      </c>
      <c r="F177" s="15">
        <v>42389</v>
      </c>
      <c r="G177" s="28">
        <v>99.217526388888885</v>
      </c>
      <c r="H177" s="15">
        <v>42482</v>
      </c>
      <c r="I177">
        <v>238</v>
      </c>
      <c r="J177">
        <v>10000</v>
      </c>
      <c r="K177" s="28">
        <v>3.0954999999999999</v>
      </c>
    </row>
    <row r="178" spans="1:12" ht="15" customHeight="1" x14ac:dyDescent="0.2">
      <c r="A178" s="28" t="s">
        <v>9</v>
      </c>
      <c r="B178" s="2" t="s">
        <v>29</v>
      </c>
      <c r="C178" s="30">
        <v>0.5</v>
      </c>
      <c r="D178" s="28">
        <f>YEAR(TableauFlitrage[[#This Row],[Date_d_adjudication]])</f>
        <v>2016</v>
      </c>
      <c r="E178" s="28">
        <f t="shared" si="2"/>
        <v>1</v>
      </c>
      <c r="F178" s="15">
        <v>42396</v>
      </c>
      <c r="G178" s="28">
        <v>98.080152777777784</v>
      </c>
      <c r="H178" s="15">
        <v>42580</v>
      </c>
      <c r="I178">
        <v>103</v>
      </c>
      <c r="J178">
        <v>10000</v>
      </c>
      <c r="K178" s="28">
        <v>3.7974999999999999</v>
      </c>
    </row>
    <row r="179" spans="1:12" ht="15" customHeight="1" x14ac:dyDescent="0.2">
      <c r="A179" s="28" t="s">
        <v>7</v>
      </c>
      <c r="B179" s="2" t="s">
        <v>29</v>
      </c>
      <c r="C179" s="30">
        <v>1</v>
      </c>
      <c r="D179" s="28">
        <f>YEAR(TableauFlitrage[[#This Row],[Date_d_adjudication]])</f>
        <v>2016</v>
      </c>
      <c r="E179" s="28">
        <f t="shared" si="2"/>
        <v>1</v>
      </c>
      <c r="F179" s="15">
        <v>42396</v>
      </c>
      <c r="G179" s="28">
        <v>97.108222222222224</v>
      </c>
      <c r="H179" s="15">
        <v>42762</v>
      </c>
      <c r="I179">
        <v>317.86</v>
      </c>
      <c r="J179">
        <v>7000</v>
      </c>
      <c r="K179" s="28">
        <v>2.86</v>
      </c>
    </row>
    <row r="180" spans="1:12" ht="15" customHeight="1" x14ac:dyDescent="0.2">
      <c r="A180" s="28" t="s">
        <v>7</v>
      </c>
      <c r="B180" s="2" t="s">
        <v>29</v>
      </c>
      <c r="C180" s="30">
        <v>0.5</v>
      </c>
      <c r="D180" s="28">
        <f>YEAR(TableauFlitrage[[#This Row],[Date_d_adjudication]])</f>
        <v>2016</v>
      </c>
      <c r="E180" s="28">
        <f t="shared" si="2"/>
        <v>2</v>
      </c>
      <c r="F180" s="15">
        <v>42410</v>
      </c>
      <c r="G180" s="28">
        <v>98.725999999999999</v>
      </c>
      <c r="H180" s="15">
        <v>42594</v>
      </c>
      <c r="I180">
        <v>275</v>
      </c>
      <c r="J180">
        <v>7000</v>
      </c>
      <c r="K180" s="28">
        <v>2.52</v>
      </c>
    </row>
    <row r="181" spans="1:12" ht="15" customHeight="1" x14ac:dyDescent="0.2">
      <c r="A181" s="28" t="s">
        <v>9</v>
      </c>
      <c r="B181" s="2" t="s">
        <v>29</v>
      </c>
      <c r="C181" s="30">
        <v>0.25</v>
      </c>
      <c r="D181" s="28">
        <f>YEAR(TableauFlitrage[[#This Row],[Date_d_adjudication]])</f>
        <v>2016</v>
      </c>
      <c r="E181" s="28">
        <f t="shared" si="2"/>
        <v>2</v>
      </c>
      <c r="F181" s="15">
        <v>42410</v>
      </c>
      <c r="G181" s="28">
        <v>99.217131277777781</v>
      </c>
      <c r="H181" s="15">
        <v>42501</v>
      </c>
      <c r="I181">
        <v>275</v>
      </c>
      <c r="J181">
        <v>6000</v>
      </c>
      <c r="K181" s="28">
        <v>3.1666599999999998</v>
      </c>
    </row>
    <row r="182" spans="1:12" ht="15" customHeight="1" x14ac:dyDescent="0.2">
      <c r="A182" s="28" t="s">
        <v>9</v>
      </c>
      <c r="B182" s="2" t="s">
        <v>29</v>
      </c>
      <c r="C182" s="30">
        <v>1</v>
      </c>
      <c r="D182" s="28">
        <f>YEAR(TableauFlitrage[[#This Row],[Date_d_adjudication]])</f>
        <v>2016</v>
      </c>
      <c r="E182" s="28">
        <f t="shared" si="2"/>
        <v>2</v>
      </c>
      <c r="F182" s="15">
        <v>42417</v>
      </c>
      <c r="G182" s="28">
        <v>95.429777777777772</v>
      </c>
      <c r="H182" s="15">
        <v>42783</v>
      </c>
      <c r="I182">
        <v>50</v>
      </c>
      <c r="J182">
        <v>2500</v>
      </c>
      <c r="K182" s="28">
        <v>4.5199999999999996</v>
      </c>
    </row>
    <row r="183" spans="1:12" ht="15" customHeight="1" x14ac:dyDescent="0.2">
      <c r="A183" s="28" t="s">
        <v>11</v>
      </c>
      <c r="B183" s="2" t="s">
        <v>29</v>
      </c>
      <c r="C183" s="30">
        <v>1</v>
      </c>
      <c r="D183" s="28">
        <f>YEAR(TableauFlitrage[[#This Row],[Date_d_adjudication]])</f>
        <v>2016</v>
      </c>
      <c r="E183" s="28">
        <f t="shared" si="2"/>
        <v>2</v>
      </c>
      <c r="F183" s="15">
        <v>42424</v>
      </c>
      <c r="G183" s="28">
        <v>96.461111111111109</v>
      </c>
      <c r="H183" s="15">
        <v>42790</v>
      </c>
      <c r="I183">
        <v>70</v>
      </c>
      <c r="J183">
        <v>21000</v>
      </c>
      <c r="K183" s="28">
        <v>3.5</v>
      </c>
    </row>
    <row r="184" spans="1:12" ht="15" customHeight="1" x14ac:dyDescent="0.2">
      <c r="A184" s="28" t="s">
        <v>7</v>
      </c>
      <c r="B184" s="2" t="s">
        <v>29</v>
      </c>
      <c r="C184" s="30">
        <v>1</v>
      </c>
      <c r="D184" s="28">
        <f>YEAR(TableauFlitrage[[#This Row],[Date_d_adjudication]])</f>
        <v>2016</v>
      </c>
      <c r="E184" s="28">
        <f t="shared" si="2"/>
        <v>2</v>
      </c>
      <c r="F184" s="15">
        <v>42424</v>
      </c>
      <c r="G184" s="28">
        <v>97.310444444444443</v>
      </c>
      <c r="H184" s="15">
        <v>42790</v>
      </c>
      <c r="I184">
        <v>297.86</v>
      </c>
      <c r="J184">
        <v>7000</v>
      </c>
      <c r="K184" s="28">
        <v>2.66</v>
      </c>
    </row>
    <row r="185" spans="1:12" ht="15" customHeight="1" x14ac:dyDescent="0.2">
      <c r="A185" s="28" t="s">
        <v>11</v>
      </c>
      <c r="B185" s="2" t="s">
        <v>29</v>
      </c>
      <c r="C185" s="30">
        <v>0.25</v>
      </c>
      <c r="D185" s="28">
        <f>YEAR(TableauFlitrage[[#This Row],[Date_d_adjudication]])</f>
        <v>2016</v>
      </c>
      <c r="E185" s="28">
        <f t="shared" si="2"/>
        <v>3</v>
      </c>
      <c r="F185" s="15">
        <v>42431</v>
      </c>
      <c r="G185" s="28">
        <v>99.052083333333329</v>
      </c>
      <c r="H185" s="15">
        <v>42524</v>
      </c>
      <c r="I185">
        <v>66</v>
      </c>
      <c r="J185">
        <v>16595</v>
      </c>
      <c r="K185" s="28">
        <v>3.75</v>
      </c>
    </row>
    <row r="186" spans="1:12" ht="15" customHeight="1" x14ac:dyDescent="0.2">
      <c r="A186" s="28" t="s">
        <v>9</v>
      </c>
      <c r="B186" s="2" t="s">
        <v>29</v>
      </c>
      <c r="C186" s="30">
        <v>0.5</v>
      </c>
      <c r="D186" s="28">
        <f>YEAR(TableauFlitrage[[#This Row],[Date_d_adjudication]])</f>
        <v>2016</v>
      </c>
      <c r="E186" s="28">
        <f t="shared" si="2"/>
        <v>3</v>
      </c>
      <c r="F186" s="15">
        <v>42431</v>
      </c>
      <c r="G186" s="28">
        <v>97.992858499999997</v>
      </c>
      <c r="H186" s="15">
        <v>42615</v>
      </c>
      <c r="I186">
        <v>100</v>
      </c>
      <c r="J186">
        <v>5700</v>
      </c>
      <c r="K186" s="28">
        <v>3.97017</v>
      </c>
    </row>
    <row r="187" spans="1:12" ht="15" customHeight="1" x14ac:dyDescent="0.2">
      <c r="A187" s="28" t="s">
        <v>9</v>
      </c>
      <c r="B187" s="2" t="s">
        <v>29</v>
      </c>
      <c r="C187" s="30">
        <v>1</v>
      </c>
      <c r="D187" s="28">
        <f>YEAR(TableauFlitrage[[#This Row],[Date_d_adjudication]])</f>
        <v>2016</v>
      </c>
      <c r="E187" s="28">
        <f t="shared" si="2"/>
        <v>3</v>
      </c>
      <c r="F187" s="15">
        <v>42438</v>
      </c>
      <c r="G187" s="28">
        <v>95.761685111111106</v>
      </c>
      <c r="H187" s="15">
        <v>42804</v>
      </c>
      <c r="I187">
        <v>63.56</v>
      </c>
      <c r="J187">
        <v>5085</v>
      </c>
      <c r="K187" s="28">
        <v>4.1917400000000002</v>
      </c>
    </row>
    <row r="188" spans="1:12" ht="15" customHeight="1" x14ac:dyDescent="0.2">
      <c r="A188" s="28" t="s">
        <v>7</v>
      </c>
      <c r="B188" s="2" t="s">
        <v>29</v>
      </c>
      <c r="C188" s="30">
        <v>0.25</v>
      </c>
      <c r="D188" s="28">
        <f>YEAR(TableauFlitrage[[#This Row],[Date_d_adjudication]])</f>
        <v>2016</v>
      </c>
      <c r="E188" s="28">
        <f t="shared" si="2"/>
        <v>3</v>
      </c>
      <c r="F188" s="15">
        <v>42438</v>
      </c>
      <c r="G188" s="28">
        <v>99.430347583333329</v>
      </c>
      <c r="H188" s="15">
        <v>42531</v>
      </c>
      <c r="I188">
        <v>394.28999999999996</v>
      </c>
      <c r="J188">
        <v>7000</v>
      </c>
      <c r="K188" s="28">
        <v>2.2535699999999999</v>
      </c>
    </row>
    <row r="189" spans="1:12" ht="15" customHeight="1" x14ac:dyDescent="0.2">
      <c r="A189" s="28" t="s">
        <v>11</v>
      </c>
      <c r="B189" t="s">
        <v>30</v>
      </c>
      <c r="C189" s="30" t="s">
        <v>53</v>
      </c>
      <c r="D189" s="28">
        <f>YEAR(TableauFlitrage[[#This Row],[Date_d_adjudication]])</f>
        <v>2016</v>
      </c>
      <c r="E189" s="28">
        <f t="shared" si="2"/>
        <v>3</v>
      </c>
      <c r="F189" s="15">
        <v>42445</v>
      </c>
      <c r="G189" s="28">
        <v>100</v>
      </c>
      <c r="H189" s="15">
        <v>43178</v>
      </c>
      <c r="I189">
        <v>100</v>
      </c>
      <c r="K189" s="28">
        <v>4</v>
      </c>
      <c r="L189">
        <v>4</v>
      </c>
    </row>
    <row r="190" spans="1:12" ht="15" customHeight="1" x14ac:dyDescent="0.2">
      <c r="A190" s="28" t="s">
        <v>11</v>
      </c>
      <c r="B190" s="2" t="s">
        <v>29</v>
      </c>
      <c r="C190" s="30">
        <v>0.25</v>
      </c>
      <c r="D190" s="28">
        <f>YEAR(TableauFlitrage[[#This Row],[Date_d_adjudication]])</f>
        <v>2016</v>
      </c>
      <c r="E190" s="28">
        <f t="shared" si="2"/>
        <v>3</v>
      </c>
      <c r="F190" s="15">
        <v>42452</v>
      </c>
      <c r="G190" s="28">
        <v>99.054611111111114</v>
      </c>
      <c r="H190" s="15">
        <v>42545</v>
      </c>
      <c r="I190">
        <v>89</v>
      </c>
      <c r="J190">
        <v>22220</v>
      </c>
      <c r="K190" s="28">
        <v>3.74</v>
      </c>
    </row>
    <row r="191" spans="1:12" ht="15" customHeight="1" x14ac:dyDescent="0.2">
      <c r="A191" s="28" t="s">
        <v>7</v>
      </c>
      <c r="B191" s="2" t="s">
        <v>29</v>
      </c>
      <c r="C191" s="30">
        <v>1</v>
      </c>
      <c r="D191" s="28">
        <f>YEAR(TableauFlitrage[[#This Row],[Date_d_adjudication]])</f>
        <v>2016</v>
      </c>
      <c r="E191" s="28">
        <f t="shared" si="2"/>
        <v>3</v>
      </c>
      <c r="F191" s="15">
        <v>42452</v>
      </c>
      <c r="G191" s="28">
        <v>97.600008000000003</v>
      </c>
      <c r="H191" s="15">
        <v>42790</v>
      </c>
      <c r="I191">
        <v>220.00000000000003</v>
      </c>
      <c r="J191">
        <v>7000</v>
      </c>
      <c r="K191" s="28">
        <v>2.5714199999999998</v>
      </c>
    </row>
    <row r="192" spans="1:12" ht="15" customHeight="1" x14ac:dyDescent="0.2">
      <c r="A192" s="28" t="s">
        <v>9</v>
      </c>
      <c r="B192" t="s">
        <v>30</v>
      </c>
      <c r="C192" s="30" t="s">
        <v>53</v>
      </c>
      <c r="D192" s="28">
        <f>YEAR(TableauFlitrage[[#This Row],[Date_d_adjudication]])</f>
        <v>2016</v>
      </c>
      <c r="E192" s="28">
        <f t="shared" si="2"/>
        <v>3</v>
      </c>
      <c r="F192" s="15">
        <v>42452</v>
      </c>
      <c r="G192" s="28">
        <v>95</v>
      </c>
      <c r="H192" s="15">
        <v>43185</v>
      </c>
      <c r="I192">
        <v>18.57</v>
      </c>
      <c r="J192">
        <v>1300</v>
      </c>
      <c r="K192" s="28">
        <v>4.5</v>
      </c>
      <c r="L192">
        <v>4.7446455663093827</v>
      </c>
    </row>
    <row r="193" spans="1:12" ht="15" customHeight="1" x14ac:dyDescent="0.2">
      <c r="A193" s="28" t="s">
        <v>11</v>
      </c>
      <c r="B193" t="s">
        <v>30</v>
      </c>
      <c r="C193" s="30" t="s">
        <v>56</v>
      </c>
      <c r="D193" s="28">
        <f>YEAR(TableauFlitrage[[#This Row],[Date_d_adjudication]])</f>
        <v>2016</v>
      </c>
      <c r="E193" s="28">
        <f t="shared" si="2"/>
        <v>3</v>
      </c>
      <c r="F193" s="15">
        <v>42452</v>
      </c>
      <c r="G193" s="28">
        <v>98</v>
      </c>
      <c r="H193" s="15">
        <v>43915</v>
      </c>
      <c r="I193">
        <v>102</v>
      </c>
      <c r="K193" s="28">
        <v>4</v>
      </c>
      <c r="L193">
        <v>4.0817577500981876</v>
      </c>
    </row>
    <row r="194" spans="1:12" ht="15" customHeight="1" x14ac:dyDescent="0.2">
      <c r="A194" s="28" t="s">
        <v>7</v>
      </c>
      <c r="B194" s="2" t="s">
        <v>29</v>
      </c>
      <c r="C194" s="30">
        <v>1</v>
      </c>
      <c r="D194" s="28">
        <f>YEAR(TableauFlitrage[[#This Row],[Date_d_adjudication]])</f>
        <v>2016</v>
      </c>
      <c r="E194" s="28">
        <f t="shared" ref="E194:E257" si="3">MONTH(F194)</f>
        <v>4</v>
      </c>
      <c r="F194" s="15">
        <v>42466</v>
      </c>
      <c r="G194" s="28">
        <v>97.48233333333333</v>
      </c>
      <c r="H194" s="15">
        <v>42832</v>
      </c>
      <c r="I194">
        <v>262.86</v>
      </c>
      <c r="J194">
        <v>7000</v>
      </c>
      <c r="K194" s="28">
        <v>2.4900000000000002</v>
      </c>
    </row>
    <row r="195" spans="1:12" ht="15" customHeight="1" x14ac:dyDescent="0.2">
      <c r="A195" s="28" t="s">
        <v>9</v>
      </c>
      <c r="B195" s="2" t="s">
        <v>29</v>
      </c>
      <c r="C195" s="30">
        <v>0.5</v>
      </c>
      <c r="D195" s="28">
        <f>YEAR(TableauFlitrage[[#This Row],[Date_d_adjudication]])</f>
        <v>2016</v>
      </c>
      <c r="E195" s="28">
        <f t="shared" si="3"/>
        <v>4</v>
      </c>
      <c r="F195" s="15">
        <v>42466</v>
      </c>
      <c r="G195" s="28">
        <v>98.062038722222226</v>
      </c>
      <c r="H195" s="15">
        <v>42650</v>
      </c>
      <c r="I195">
        <v>100</v>
      </c>
      <c r="J195">
        <v>4500</v>
      </c>
      <c r="K195" s="28">
        <v>3.8333300000000001</v>
      </c>
    </row>
    <row r="196" spans="1:12" ht="15" customHeight="1" x14ac:dyDescent="0.2">
      <c r="A196" s="28" t="s">
        <v>7</v>
      </c>
      <c r="B196" s="2" t="s">
        <v>29</v>
      </c>
      <c r="C196" s="30">
        <v>0.25</v>
      </c>
      <c r="D196" s="28">
        <f>YEAR(TableauFlitrage[[#This Row],[Date_d_adjudication]])</f>
        <v>2016</v>
      </c>
      <c r="E196" s="28">
        <f t="shared" si="3"/>
        <v>4</v>
      </c>
      <c r="F196" s="15">
        <v>42473</v>
      </c>
      <c r="G196" s="28">
        <v>99.490834777777778</v>
      </c>
      <c r="H196" s="15">
        <v>42566</v>
      </c>
      <c r="I196">
        <v>80</v>
      </c>
      <c r="J196">
        <v>7000</v>
      </c>
      <c r="K196" s="28">
        <v>2.0142799999999998</v>
      </c>
    </row>
    <row r="197" spans="1:12" ht="15" customHeight="1" x14ac:dyDescent="0.2">
      <c r="A197" s="28" t="s">
        <v>9</v>
      </c>
      <c r="B197" s="2" t="s">
        <v>29</v>
      </c>
      <c r="C197" s="30">
        <v>1</v>
      </c>
      <c r="D197" s="28">
        <f>YEAR(TableauFlitrage[[#This Row],[Date_d_adjudication]])</f>
        <v>2016</v>
      </c>
      <c r="E197" s="28">
        <f t="shared" si="3"/>
        <v>4</v>
      </c>
      <c r="F197" s="15">
        <v>42480</v>
      </c>
      <c r="G197" s="28">
        <v>95.682555555555552</v>
      </c>
      <c r="H197" s="15">
        <v>42846</v>
      </c>
      <c r="I197">
        <v>94.789999999999992</v>
      </c>
      <c r="J197">
        <v>11075</v>
      </c>
      <c r="K197" s="28">
        <v>4.2699999999999996</v>
      </c>
    </row>
    <row r="198" spans="1:12" ht="15" customHeight="1" x14ac:dyDescent="0.2">
      <c r="A198" s="28" t="s">
        <v>7</v>
      </c>
      <c r="B198" s="2" t="s">
        <v>29</v>
      </c>
      <c r="C198" s="30">
        <v>0.5</v>
      </c>
      <c r="D198" s="28">
        <f>YEAR(TableauFlitrage[[#This Row],[Date_d_adjudication]])</f>
        <v>2016</v>
      </c>
      <c r="E198" s="28">
        <f t="shared" si="3"/>
        <v>4</v>
      </c>
      <c r="F198" s="15">
        <v>42487</v>
      </c>
      <c r="G198" s="28">
        <v>98.940502166666661</v>
      </c>
      <c r="H198" s="15">
        <v>42671</v>
      </c>
      <c r="I198">
        <v>275.14</v>
      </c>
      <c r="J198">
        <v>7000</v>
      </c>
      <c r="K198" s="28">
        <v>2.09571</v>
      </c>
    </row>
    <row r="199" spans="1:12" ht="15" customHeight="1" x14ac:dyDescent="0.2">
      <c r="A199" s="28" t="s">
        <v>7</v>
      </c>
      <c r="B199" s="2" t="s">
        <v>29</v>
      </c>
      <c r="C199" s="30">
        <v>0.25</v>
      </c>
      <c r="D199" s="28">
        <f>YEAR(TableauFlitrage[[#This Row],[Date_d_adjudication]])</f>
        <v>2016</v>
      </c>
      <c r="E199" s="28">
        <f t="shared" si="3"/>
        <v>5</v>
      </c>
      <c r="F199" s="15">
        <v>42494</v>
      </c>
      <c r="G199" s="28">
        <v>99.500763888888883</v>
      </c>
      <c r="H199" s="15">
        <v>42587</v>
      </c>
      <c r="I199">
        <v>247.14200000000002</v>
      </c>
      <c r="J199">
        <v>7000</v>
      </c>
      <c r="K199" s="28">
        <v>1.9750000000000001</v>
      </c>
    </row>
    <row r="200" spans="1:12" ht="15" customHeight="1" x14ac:dyDescent="0.2">
      <c r="A200" s="28" t="s">
        <v>9</v>
      </c>
      <c r="B200" s="2" t="s">
        <v>29</v>
      </c>
      <c r="C200" s="30">
        <v>0.5</v>
      </c>
      <c r="D200" s="28">
        <f>YEAR(TableauFlitrage[[#This Row],[Date_d_adjudication]])</f>
        <v>2016</v>
      </c>
      <c r="E200" s="28">
        <f t="shared" si="3"/>
        <v>5</v>
      </c>
      <c r="F200" s="15">
        <v>42501</v>
      </c>
      <c r="G200" s="28">
        <v>97.88677777777778</v>
      </c>
      <c r="H200" s="15">
        <v>42685</v>
      </c>
      <c r="I200">
        <v>103.49999999999999</v>
      </c>
      <c r="J200">
        <v>10000</v>
      </c>
      <c r="K200" s="28">
        <v>4.18</v>
      </c>
    </row>
    <row r="201" spans="1:12" ht="15" customHeight="1" x14ac:dyDescent="0.2">
      <c r="A201" s="28" t="s">
        <v>9</v>
      </c>
      <c r="B201" s="2" t="s">
        <v>29</v>
      </c>
      <c r="C201" s="30">
        <v>1</v>
      </c>
      <c r="D201" s="28">
        <f>YEAR(TableauFlitrage[[#This Row],[Date_d_adjudication]])</f>
        <v>2016</v>
      </c>
      <c r="E201" s="28">
        <f t="shared" si="3"/>
        <v>5</v>
      </c>
      <c r="F201" s="15">
        <v>42508</v>
      </c>
      <c r="G201" s="28">
        <v>95.379222222222225</v>
      </c>
      <c r="H201" s="15">
        <v>42874</v>
      </c>
      <c r="I201">
        <v>112.7</v>
      </c>
      <c r="J201">
        <v>9020</v>
      </c>
      <c r="K201" s="28">
        <v>4.57</v>
      </c>
    </row>
    <row r="202" spans="1:12" ht="15" customHeight="1" x14ac:dyDescent="0.2">
      <c r="A202" s="28" t="s">
        <v>7</v>
      </c>
      <c r="B202" s="2" t="s">
        <v>29</v>
      </c>
      <c r="C202" s="30">
        <v>1</v>
      </c>
      <c r="D202" s="28">
        <f>YEAR(TableauFlitrage[[#This Row],[Date_d_adjudication]])</f>
        <v>2016</v>
      </c>
      <c r="E202" s="28">
        <f t="shared" si="3"/>
        <v>5</v>
      </c>
      <c r="F202" s="15">
        <v>42508</v>
      </c>
      <c r="G202" s="28">
        <v>97.613777777777784</v>
      </c>
      <c r="H202" s="15">
        <v>42874</v>
      </c>
      <c r="I202">
        <v>250.29</v>
      </c>
      <c r="J202">
        <v>7000</v>
      </c>
      <c r="K202" s="28">
        <v>2.36</v>
      </c>
    </row>
    <row r="203" spans="1:12" ht="15" customHeight="1" x14ac:dyDescent="0.2">
      <c r="A203" s="28" t="s">
        <v>14</v>
      </c>
      <c r="B203" s="2" t="s">
        <v>29</v>
      </c>
      <c r="C203" s="30">
        <v>0.5</v>
      </c>
      <c r="D203" s="28">
        <f>YEAR(TableauFlitrage[[#This Row],[Date_d_adjudication]])</f>
        <v>2016</v>
      </c>
      <c r="E203" s="28">
        <f t="shared" si="3"/>
        <v>5</v>
      </c>
      <c r="F203" s="15">
        <v>42508</v>
      </c>
      <c r="G203" s="28">
        <v>97.310444444444443</v>
      </c>
      <c r="H203" s="15">
        <v>42692</v>
      </c>
      <c r="I203">
        <v>100</v>
      </c>
      <c r="J203">
        <v>5500</v>
      </c>
      <c r="K203" s="28">
        <v>5.32</v>
      </c>
    </row>
    <row r="204" spans="1:12" ht="15" customHeight="1" x14ac:dyDescent="0.2">
      <c r="A204" s="28" t="s">
        <v>11</v>
      </c>
      <c r="B204" t="s">
        <v>30</v>
      </c>
      <c r="C204" s="30" t="s">
        <v>53</v>
      </c>
      <c r="D204" s="28">
        <f>YEAR(TableauFlitrage[[#This Row],[Date_d_adjudication]])</f>
        <v>2016</v>
      </c>
      <c r="E204" s="28">
        <f t="shared" si="3"/>
        <v>5</v>
      </c>
      <c r="F204" s="15">
        <v>42508</v>
      </c>
      <c r="G204" s="28">
        <v>99</v>
      </c>
      <c r="H204" s="15">
        <v>43241</v>
      </c>
      <c r="I204">
        <v>100</v>
      </c>
      <c r="K204" s="28">
        <v>3.5</v>
      </c>
      <c r="L204">
        <v>3.5371777516879184</v>
      </c>
    </row>
    <row r="205" spans="1:12" ht="15" customHeight="1" x14ac:dyDescent="0.2">
      <c r="A205" s="28" t="s">
        <v>11</v>
      </c>
      <c r="B205" s="2" t="s">
        <v>29</v>
      </c>
      <c r="C205" s="30">
        <v>0.25</v>
      </c>
      <c r="D205" s="28">
        <f>YEAR(TableauFlitrage[[#This Row],[Date_d_adjudication]])</f>
        <v>2016</v>
      </c>
      <c r="E205" s="28">
        <f t="shared" si="3"/>
        <v>5</v>
      </c>
      <c r="F205" s="15">
        <v>42515</v>
      </c>
      <c r="G205" s="28">
        <v>99.069777777777773</v>
      </c>
      <c r="H205" s="15">
        <v>42608</v>
      </c>
      <c r="I205">
        <v>53</v>
      </c>
      <c r="J205">
        <v>10600</v>
      </c>
      <c r="K205" s="28">
        <v>3.68</v>
      </c>
    </row>
    <row r="206" spans="1:12" ht="15" customHeight="1" x14ac:dyDescent="0.2">
      <c r="A206" s="28" t="s">
        <v>11</v>
      </c>
      <c r="B206" t="s">
        <v>30</v>
      </c>
      <c r="C206" s="30" t="s">
        <v>53</v>
      </c>
      <c r="D206" s="28">
        <f>YEAR(TableauFlitrage[[#This Row],[Date_d_adjudication]])</f>
        <v>2016</v>
      </c>
      <c r="E206" s="28">
        <f t="shared" si="3"/>
        <v>5</v>
      </c>
      <c r="F206" s="15">
        <v>42515</v>
      </c>
      <c r="G206" s="28">
        <v>100</v>
      </c>
      <c r="H206" s="15">
        <v>43248</v>
      </c>
      <c r="I206">
        <v>100</v>
      </c>
      <c r="K206" s="28">
        <v>4</v>
      </c>
      <c r="L206">
        <v>4</v>
      </c>
    </row>
    <row r="207" spans="1:12" ht="15" customHeight="1" x14ac:dyDescent="0.2">
      <c r="A207" s="28" t="s">
        <v>11</v>
      </c>
      <c r="B207" s="2" t="s">
        <v>29</v>
      </c>
      <c r="C207" s="30">
        <v>0.5</v>
      </c>
      <c r="D207" s="28">
        <f>YEAR(TableauFlitrage[[#This Row],[Date_d_adjudication]])</f>
        <v>2016</v>
      </c>
      <c r="E207" s="28">
        <f t="shared" si="3"/>
        <v>6</v>
      </c>
      <c r="F207" s="15">
        <v>42522</v>
      </c>
      <c r="G207" s="28">
        <v>98.123317111111106</v>
      </c>
      <c r="H207" s="15">
        <v>42706</v>
      </c>
      <c r="I207">
        <v>82.5</v>
      </c>
      <c r="J207">
        <v>16500</v>
      </c>
      <c r="K207" s="28">
        <v>3.7121200000000001</v>
      </c>
    </row>
    <row r="208" spans="1:12" ht="15" customHeight="1" x14ac:dyDescent="0.2">
      <c r="A208" s="28" t="s">
        <v>7</v>
      </c>
      <c r="B208" s="2" t="s">
        <v>29</v>
      </c>
      <c r="C208" s="30">
        <v>1</v>
      </c>
      <c r="D208" s="28">
        <f>YEAR(TableauFlitrage[[#This Row],[Date_d_adjudication]])</f>
        <v>2016</v>
      </c>
      <c r="E208" s="28">
        <f t="shared" si="3"/>
        <v>6</v>
      </c>
      <c r="F208" s="15">
        <v>42522</v>
      </c>
      <c r="G208" s="28">
        <v>97.48233333333333</v>
      </c>
      <c r="H208" s="15">
        <v>42888</v>
      </c>
      <c r="I208">
        <v>86</v>
      </c>
      <c r="J208">
        <v>4720</v>
      </c>
      <c r="K208" s="28">
        <v>2.4900000000000002</v>
      </c>
    </row>
    <row r="209" spans="1:12" ht="15" customHeight="1" x14ac:dyDescent="0.2">
      <c r="A209" s="28" t="s">
        <v>9</v>
      </c>
      <c r="B209" s="2" t="s">
        <v>29</v>
      </c>
      <c r="C209" s="30">
        <v>0.5</v>
      </c>
      <c r="D209" s="28">
        <f>YEAR(TableauFlitrage[[#This Row],[Date_d_adjudication]])</f>
        <v>2016</v>
      </c>
      <c r="E209" s="28">
        <f t="shared" si="3"/>
        <v>6</v>
      </c>
      <c r="F209" s="15">
        <v>42522</v>
      </c>
      <c r="G209" s="28">
        <v>97.902450000000002</v>
      </c>
      <c r="H209" s="15">
        <v>42706</v>
      </c>
      <c r="I209">
        <v>130.5</v>
      </c>
      <c r="J209">
        <v>10000</v>
      </c>
      <c r="K209" s="28">
        <v>4.149</v>
      </c>
    </row>
    <row r="210" spans="1:12" ht="15" customHeight="1" x14ac:dyDescent="0.2">
      <c r="A210" s="28" t="s">
        <v>9</v>
      </c>
      <c r="B210" s="2" t="s">
        <v>29</v>
      </c>
      <c r="C210" s="30">
        <v>1</v>
      </c>
      <c r="D210" s="28">
        <f>YEAR(TableauFlitrage[[#This Row],[Date_d_adjudication]])</f>
        <v>2016</v>
      </c>
      <c r="E210" s="28">
        <f t="shared" si="3"/>
        <v>6</v>
      </c>
      <c r="F210" s="15">
        <v>42529</v>
      </c>
      <c r="G210" s="28">
        <v>95.672444444444437</v>
      </c>
      <c r="H210" s="15">
        <v>42895</v>
      </c>
      <c r="I210">
        <v>175</v>
      </c>
      <c r="J210">
        <v>5000</v>
      </c>
      <c r="K210" s="28">
        <v>4.28</v>
      </c>
    </row>
    <row r="211" spans="1:12" ht="15" customHeight="1" x14ac:dyDescent="0.2">
      <c r="A211" s="28" t="s">
        <v>11</v>
      </c>
      <c r="B211" s="2" t="s">
        <v>29</v>
      </c>
      <c r="C211" s="30">
        <v>1</v>
      </c>
      <c r="D211" s="28">
        <f>YEAR(TableauFlitrage[[#This Row],[Date_d_adjudication]])</f>
        <v>2016</v>
      </c>
      <c r="E211" s="28">
        <f t="shared" si="3"/>
        <v>6</v>
      </c>
      <c r="F211" s="15">
        <v>42529</v>
      </c>
      <c r="G211" s="28">
        <v>96.461111111111109</v>
      </c>
      <c r="H211" s="15">
        <v>42895</v>
      </c>
      <c r="I211">
        <v>76.570000000000007</v>
      </c>
      <c r="J211">
        <v>26800</v>
      </c>
      <c r="K211" s="28">
        <v>3.5</v>
      </c>
    </row>
    <row r="212" spans="1:12" ht="15" customHeight="1" x14ac:dyDescent="0.2">
      <c r="A212" s="28" t="s">
        <v>7</v>
      </c>
      <c r="B212" s="2" t="s">
        <v>29</v>
      </c>
      <c r="C212" s="30">
        <v>0.5</v>
      </c>
      <c r="D212" s="28">
        <f>YEAR(TableauFlitrage[[#This Row],[Date_d_adjudication]])</f>
        <v>2016</v>
      </c>
      <c r="E212" s="28">
        <f t="shared" si="3"/>
        <v>6</v>
      </c>
      <c r="F212" s="15">
        <v>42529</v>
      </c>
      <c r="G212" s="28">
        <v>98.881569555555558</v>
      </c>
      <c r="H212" s="15">
        <v>42713</v>
      </c>
      <c r="I212">
        <v>85.71</v>
      </c>
      <c r="J212">
        <v>5700</v>
      </c>
      <c r="K212" s="28">
        <v>2.2122799999999998</v>
      </c>
    </row>
    <row r="213" spans="1:12" ht="15" customHeight="1" x14ac:dyDescent="0.2">
      <c r="A213" s="28" t="s">
        <v>11</v>
      </c>
      <c r="B213" s="2" t="s">
        <v>29</v>
      </c>
      <c r="C213" s="30">
        <v>1</v>
      </c>
      <c r="D213" s="28">
        <f>YEAR(TableauFlitrage[[#This Row],[Date_d_adjudication]])</f>
        <v>2016</v>
      </c>
      <c r="E213" s="28">
        <f t="shared" si="3"/>
        <v>6</v>
      </c>
      <c r="F213" s="15">
        <v>42536</v>
      </c>
      <c r="G213" s="28">
        <v>96.177999999999997</v>
      </c>
      <c r="H213" s="15">
        <v>42902</v>
      </c>
      <c r="I213">
        <v>96.67</v>
      </c>
      <c r="J213">
        <v>14500</v>
      </c>
      <c r="K213" s="28">
        <v>3.78</v>
      </c>
    </row>
    <row r="214" spans="1:12" ht="15" customHeight="1" x14ac:dyDescent="0.2">
      <c r="A214" s="28" t="s">
        <v>11</v>
      </c>
      <c r="B214" s="2" t="s">
        <v>29</v>
      </c>
      <c r="C214" s="30">
        <v>0.25</v>
      </c>
      <c r="D214" s="28">
        <f>YEAR(TableauFlitrage[[#This Row],[Date_d_adjudication]])</f>
        <v>2016</v>
      </c>
      <c r="E214" s="28">
        <f t="shared" si="3"/>
        <v>6</v>
      </c>
      <c r="F214" s="15">
        <v>42543</v>
      </c>
      <c r="G214" s="28">
        <v>99.069777777777773</v>
      </c>
      <c r="H214" s="15">
        <v>42636</v>
      </c>
      <c r="I214">
        <v>24.4</v>
      </c>
      <c r="J214">
        <v>6100</v>
      </c>
      <c r="K214" s="28">
        <v>3.68</v>
      </c>
    </row>
    <row r="215" spans="1:12" ht="15" customHeight="1" x14ac:dyDescent="0.2">
      <c r="A215" s="28" t="s">
        <v>7</v>
      </c>
      <c r="B215" s="2" t="s">
        <v>29</v>
      </c>
      <c r="C215" s="30">
        <v>0.25</v>
      </c>
      <c r="D215" s="28">
        <f>YEAR(TableauFlitrage[[#This Row],[Date_d_adjudication]])</f>
        <v>2016</v>
      </c>
      <c r="E215" s="28">
        <f t="shared" si="3"/>
        <v>6</v>
      </c>
      <c r="F215" s="15">
        <v>42543</v>
      </c>
      <c r="G215" s="28">
        <v>99.610722222222222</v>
      </c>
      <c r="H215" s="15">
        <v>42636</v>
      </c>
      <c r="I215">
        <v>100</v>
      </c>
      <c r="J215">
        <v>7000</v>
      </c>
      <c r="K215" s="28">
        <v>1.54</v>
      </c>
    </row>
    <row r="216" spans="1:12" ht="15" customHeight="1" x14ac:dyDescent="0.2">
      <c r="A216" s="28" t="s">
        <v>9</v>
      </c>
      <c r="B216" s="2" t="s">
        <v>29</v>
      </c>
      <c r="C216" s="30">
        <v>0.25</v>
      </c>
      <c r="D216" s="28">
        <f>YEAR(TableauFlitrage[[#This Row],[Date_d_adjudication]])</f>
        <v>2016</v>
      </c>
      <c r="E216" s="28">
        <f t="shared" si="3"/>
        <v>6</v>
      </c>
      <c r="F216" s="15">
        <v>42543</v>
      </c>
      <c r="G216" s="28">
        <v>99.026408694444441</v>
      </c>
      <c r="H216" s="15">
        <v>42636</v>
      </c>
      <c r="I216">
        <v>97.8</v>
      </c>
      <c r="J216">
        <v>9500</v>
      </c>
      <c r="K216" s="28">
        <v>3.8515700000000002</v>
      </c>
    </row>
    <row r="217" spans="1:12" ht="15" customHeight="1" x14ac:dyDescent="0.2">
      <c r="A217" s="28" t="s">
        <v>11</v>
      </c>
      <c r="B217" t="s">
        <v>30</v>
      </c>
      <c r="C217" s="30" t="s">
        <v>53</v>
      </c>
      <c r="D217" s="28">
        <f>YEAR(TableauFlitrage[[#This Row],[Date_d_adjudication]])</f>
        <v>2016</v>
      </c>
      <c r="E217" s="28">
        <f t="shared" si="3"/>
        <v>6</v>
      </c>
      <c r="F217" s="15">
        <v>42543</v>
      </c>
      <c r="G217" s="28">
        <v>100</v>
      </c>
      <c r="H217" s="15">
        <v>43276</v>
      </c>
      <c r="I217">
        <v>100</v>
      </c>
      <c r="K217" s="28">
        <v>3.5</v>
      </c>
      <c r="L217">
        <v>3.5</v>
      </c>
    </row>
    <row r="218" spans="1:12" ht="15" customHeight="1" x14ac:dyDescent="0.2">
      <c r="A218" s="28" t="s">
        <v>7</v>
      </c>
      <c r="B218" s="2" t="s">
        <v>29</v>
      </c>
      <c r="C218" s="30">
        <v>0.25</v>
      </c>
      <c r="D218" s="28">
        <f>YEAR(TableauFlitrage[[#This Row],[Date_d_adjudication]])</f>
        <v>2016</v>
      </c>
      <c r="E218" s="28">
        <f t="shared" si="3"/>
        <v>7</v>
      </c>
      <c r="F218" s="15">
        <v>42557</v>
      </c>
      <c r="G218" s="28">
        <v>99.570277777777775</v>
      </c>
      <c r="H218" s="15">
        <v>42650</v>
      </c>
      <c r="I218">
        <v>432.28999999999996</v>
      </c>
      <c r="J218">
        <v>7000</v>
      </c>
      <c r="K218" s="28">
        <v>1.7</v>
      </c>
    </row>
    <row r="219" spans="1:12" ht="15" customHeight="1" x14ac:dyDescent="0.2">
      <c r="A219" s="28" t="s">
        <v>9</v>
      </c>
      <c r="B219" s="2" t="s">
        <v>29</v>
      </c>
      <c r="C219" s="30">
        <v>0.25</v>
      </c>
      <c r="D219" s="28">
        <f>YEAR(TableauFlitrage[[#This Row],[Date_d_adjudication]])</f>
        <v>2016</v>
      </c>
      <c r="E219" s="28">
        <f t="shared" si="3"/>
        <v>7</v>
      </c>
      <c r="F219" s="15">
        <v>42557</v>
      </c>
      <c r="G219" s="28">
        <v>99.028069444444441</v>
      </c>
      <c r="H219" s="15">
        <v>42650</v>
      </c>
      <c r="I219">
        <v>155</v>
      </c>
      <c r="J219">
        <v>5000</v>
      </c>
      <c r="K219" s="28">
        <v>3.8450000000000002</v>
      </c>
    </row>
    <row r="220" spans="1:12" ht="15" customHeight="1" x14ac:dyDescent="0.2">
      <c r="A220" s="28" t="s">
        <v>9</v>
      </c>
      <c r="B220" s="2" t="s">
        <v>29</v>
      </c>
      <c r="C220" s="30">
        <v>0.5</v>
      </c>
      <c r="D220" s="28">
        <f>YEAR(TableauFlitrage[[#This Row],[Date_d_adjudication]])</f>
        <v>2016</v>
      </c>
      <c r="E220" s="28">
        <f t="shared" si="3"/>
        <v>7</v>
      </c>
      <c r="F220" s="15">
        <v>42564</v>
      </c>
      <c r="G220" s="28">
        <v>97.906999999999996</v>
      </c>
      <c r="H220" s="15">
        <v>42748</v>
      </c>
      <c r="I220">
        <v>245.00000000000003</v>
      </c>
      <c r="J220">
        <v>5000</v>
      </c>
      <c r="K220" s="28">
        <v>4.1399999999999997</v>
      </c>
    </row>
    <row r="221" spans="1:12" ht="15" customHeight="1" x14ac:dyDescent="0.2">
      <c r="A221" s="28" t="s">
        <v>11</v>
      </c>
      <c r="B221" s="2" t="s">
        <v>29</v>
      </c>
      <c r="C221" s="30">
        <v>1</v>
      </c>
      <c r="D221" s="28">
        <f>YEAR(TableauFlitrage[[#This Row],[Date_d_adjudication]])</f>
        <v>2016</v>
      </c>
      <c r="E221" s="28">
        <f t="shared" si="3"/>
        <v>7</v>
      </c>
      <c r="F221" s="15">
        <v>42564</v>
      </c>
      <c r="G221" s="28">
        <v>96.137555555555551</v>
      </c>
      <c r="H221" s="15">
        <v>42930</v>
      </c>
      <c r="I221">
        <v>100</v>
      </c>
      <c r="J221">
        <v>25000</v>
      </c>
      <c r="K221" s="28">
        <v>3.82</v>
      </c>
    </row>
    <row r="222" spans="1:12" ht="15" customHeight="1" x14ac:dyDescent="0.2">
      <c r="A222" s="28" t="s">
        <v>7</v>
      </c>
      <c r="B222" s="2" t="s">
        <v>29</v>
      </c>
      <c r="C222" s="30">
        <v>1</v>
      </c>
      <c r="D222" s="28">
        <f>YEAR(TableauFlitrage[[#This Row],[Date_d_adjudication]])</f>
        <v>2016</v>
      </c>
      <c r="E222" s="28">
        <f t="shared" si="3"/>
        <v>7</v>
      </c>
      <c r="F222" s="15">
        <v>42571</v>
      </c>
      <c r="G222" s="28">
        <v>97.553111111111107</v>
      </c>
      <c r="H222" s="15">
        <v>42937</v>
      </c>
      <c r="I222">
        <v>235.71</v>
      </c>
      <c r="J222">
        <v>7000</v>
      </c>
      <c r="K222" s="28">
        <v>2.42</v>
      </c>
    </row>
    <row r="223" spans="1:12" ht="15" customHeight="1" x14ac:dyDescent="0.2">
      <c r="A223" s="28" t="s">
        <v>10</v>
      </c>
      <c r="B223" s="2" t="s">
        <v>29</v>
      </c>
      <c r="C223" s="30">
        <v>1</v>
      </c>
      <c r="D223" s="28">
        <f>YEAR(TableauFlitrage[[#This Row],[Date_d_adjudication]])</f>
        <v>2016</v>
      </c>
      <c r="E223" s="28">
        <f t="shared" si="3"/>
        <v>7</v>
      </c>
      <c r="F223" s="15">
        <v>42571</v>
      </c>
      <c r="G223" s="28">
        <v>98.402444444444441</v>
      </c>
      <c r="H223" s="15">
        <v>42937</v>
      </c>
      <c r="I223">
        <v>130</v>
      </c>
      <c r="J223">
        <v>10000</v>
      </c>
      <c r="K223" s="28">
        <v>1.58</v>
      </c>
    </row>
    <row r="224" spans="1:12" ht="15" customHeight="1" x14ac:dyDescent="0.2">
      <c r="A224" s="28" t="s">
        <v>14</v>
      </c>
      <c r="B224" s="2" t="s">
        <v>29</v>
      </c>
      <c r="C224" s="30">
        <v>0.5</v>
      </c>
      <c r="D224" s="28">
        <f>YEAR(TableauFlitrage[[#This Row],[Date_d_adjudication]])</f>
        <v>2016</v>
      </c>
      <c r="E224" s="28">
        <f t="shared" si="3"/>
        <v>7</v>
      </c>
      <c r="F224" s="15">
        <v>42571</v>
      </c>
      <c r="G224" s="28">
        <v>97.472222222222229</v>
      </c>
      <c r="H224" s="15">
        <v>42755</v>
      </c>
      <c r="I224">
        <v>100</v>
      </c>
      <c r="J224">
        <v>4000</v>
      </c>
      <c r="K224" s="28">
        <v>5</v>
      </c>
    </row>
    <row r="225" spans="1:12" ht="15" customHeight="1" x14ac:dyDescent="0.2">
      <c r="A225" s="28" t="s">
        <v>9</v>
      </c>
      <c r="B225" t="s">
        <v>30</v>
      </c>
      <c r="C225" s="30" t="s">
        <v>53</v>
      </c>
      <c r="D225" s="28">
        <f>YEAR(TableauFlitrage[[#This Row],[Date_d_adjudication]])</f>
        <v>2016</v>
      </c>
      <c r="E225" s="28">
        <f t="shared" si="3"/>
        <v>7</v>
      </c>
      <c r="F225" s="15">
        <v>42571</v>
      </c>
      <c r="G225" s="28">
        <v>96</v>
      </c>
      <c r="H225" s="15">
        <v>43185</v>
      </c>
      <c r="I225">
        <v>80</v>
      </c>
      <c r="J225">
        <v>4000</v>
      </c>
      <c r="K225" s="28">
        <v>4.5</v>
      </c>
      <c r="L225">
        <v>4.6937247356012497</v>
      </c>
    </row>
    <row r="226" spans="1:12" ht="15" customHeight="1" x14ac:dyDescent="0.2">
      <c r="A226" s="28" t="s">
        <v>11</v>
      </c>
      <c r="B226" s="2" t="s">
        <v>29</v>
      </c>
      <c r="C226" s="30">
        <v>0.25</v>
      </c>
      <c r="D226" s="28">
        <f>YEAR(TableauFlitrage[[#This Row],[Date_d_adjudication]])</f>
        <v>2016</v>
      </c>
      <c r="E226" s="28">
        <f t="shared" si="3"/>
        <v>7</v>
      </c>
      <c r="F226" s="15">
        <v>42578</v>
      </c>
      <c r="G226" s="28">
        <v>99.039137777777782</v>
      </c>
      <c r="H226" s="15">
        <v>42668</v>
      </c>
      <c r="I226">
        <v>56.000000000000007</v>
      </c>
      <c r="J226">
        <v>11200</v>
      </c>
      <c r="K226" s="28">
        <v>3.9308000000000001</v>
      </c>
    </row>
    <row r="227" spans="1:12" ht="15" customHeight="1" x14ac:dyDescent="0.2">
      <c r="A227" s="28" t="s">
        <v>9</v>
      </c>
      <c r="B227" s="2" t="s">
        <v>29</v>
      </c>
      <c r="C227" s="30">
        <v>1</v>
      </c>
      <c r="D227" s="28">
        <f>YEAR(TableauFlitrage[[#This Row],[Date_d_adjudication]])</f>
        <v>2016</v>
      </c>
      <c r="E227" s="28">
        <f t="shared" si="3"/>
        <v>7</v>
      </c>
      <c r="F227" s="15">
        <v>42578</v>
      </c>
      <c r="G227" s="28">
        <v>95.278111111111116</v>
      </c>
      <c r="H227" s="15">
        <v>42944</v>
      </c>
      <c r="I227">
        <v>85</v>
      </c>
      <c r="J227">
        <v>8500</v>
      </c>
      <c r="K227" s="28">
        <v>4.67</v>
      </c>
    </row>
    <row r="228" spans="1:12" ht="15" customHeight="1" x14ac:dyDescent="0.2">
      <c r="A228" s="28" t="s">
        <v>7</v>
      </c>
      <c r="B228" s="2" t="s">
        <v>29</v>
      </c>
      <c r="C228" s="30">
        <v>0.5</v>
      </c>
      <c r="D228" s="28">
        <f>YEAR(TableauFlitrage[[#This Row],[Date_d_adjudication]])</f>
        <v>2016</v>
      </c>
      <c r="E228" s="28">
        <f t="shared" si="3"/>
        <v>8</v>
      </c>
      <c r="F228" s="15">
        <v>42585</v>
      </c>
      <c r="G228" s="28">
        <v>98.940143222222218</v>
      </c>
      <c r="H228" s="15">
        <v>42769</v>
      </c>
      <c r="I228">
        <v>400.72999999999996</v>
      </c>
      <c r="J228">
        <v>7000</v>
      </c>
      <c r="K228" s="28">
        <v>2.0964200000000002</v>
      </c>
    </row>
    <row r="229" spans="1:12" ht="15" customHeight="1" x14ac:dyDescent="0.2">
      <c r="A229" s="28" t="s">
        <v>10</v>
      </c>
      <c r="B229" s="2" t="s">
        <v>29</v>
      </c>
      <c r="C229" s="30">
        <v>1</v>
      </c>
      <c r="D229" s="28">
        <f>YEAR(TableauFlitrage[[#This Row],[Date_d_adjudication]])</f>
        <v>2016</v>
      </c>
      <c r="E229" s="28">
        <f t="shared" si="3"/>
        <v>8</v>
      </c>
      <c r="F229" s="15">
        <v>42585</v>
      </c>
      <c r="G229" s="28">
        <v>98.402444444444441</v>
      </c>
      <c r="H229" s="15">
        <v>42951</v>
      </c>
      <c r="I229">
        <v>80</v>
      </c>
      <c r="J229">
        <v>10000</v>
      </c>
      <c r="K229" s="28">
        <v>1.58</v>
      </c>
    </row>
    <row r="230" spans="1:12" ht="15" customHeight="1" x14ac:dyDescent="0.2">
      <c r="A230" s="28" t="s">
        <v>9</v>
      </c>
      <c r="B230" s="2" t="s">
        <v>29</v>
      </c>
      <c r="C230" s="30">
        <v>0.25</v>
      </c>
      <c r="D230" s="28">
        <f>YEAR(TableauFlitrage[[#This Row],[Date_d_adjudication]])</f>
        <v>2016</v>
      </c>
      <c r="E230" s="28">
        <f t="shared" si="3"/>
        <v>8</v>
      </c>
      <c r="F230" s="15">
        <v>42585</v>
      </c>
      <c r="G230" s="28">
        <v>99.007847222222225</v>
      </c>
      <c r="H230" s="15">
        <v>42678</v>
      </c>
      <c r="I230">
        <v>310.75</v>
      </c>
      <c r="J230">
        <v>6000</v>
      </c>
      <c r="K230" s="28">
        <v>3.9249999999999998</v>
      </c>
    </row>
    <row r="231" spans="1:12" ht="15" customHeight="1" x14ac:dyDescent="0.2">
      <c r="A231" s="28" t="s">
        <v>9</v>
      </c>
      <c r="B231" s="2" t="s">
        <v>29</v>
      </c>
      <c r="C231" s="30">
        <v>1</v>
      </c>
      <c r="D231" s="28">
        <f>YEAR(TableauFlitrage[[#This Row],[Date_d_adjudication]])</f>
        <v>2016</v>
      </c>
      <c r="E231" s="28">
        <f t="shared" si="3"/>
        <v>8</v>
      </c>
      <c r="F231" s="15">
        <v>42592</v>
      </c>
      <c r="G231" s="28">
        <v>95.278111111111116</v>
      </c>
      <c r="H231" s="15">
        <v>42958</v>
      </c>
      <c r="I231">
        <v>279.17</v>
      </c>
      <c r="J231">
        <v>6000</v>
      </c>
      <c r="K231" s="28">
        <v>4.67</v>
      </c>
    </row>
    <row r="232" spans="1:12" ht="15" customHeight="1" x14ac:dyDescent="0.2">
      <c r="A232" s="28" t="s">
        <v>7</v>
      </c>
      <c r="B232" s="2" t="s">
        <v>29</v>
      </c>
      <c r="C232" s="30">
        <v>0.25</v>
      </c>
      <c r="D232" s="28">
        <f>YEAR(TableauFlitrage[[#This Row],[Date_d_adjudication]])</f>
        <v>2016</v>
      </c>
      <c r="E232" s="28">
        <f t="shared" si="3"/>
        <v>8</v>
      </c>
      <c r="F232" s="15">
        <v>42592</v>
      </c>
      <c r="G232" s="28">
        <v>99.572805555555561</v>
      </c>
      <c r="H232" s="15">
        <v>42685</v>
      </c>
      <c r="I232">
        <v>292.86</v>
      </c>
      <c r="J232">
        <v>7000</v>
      </c>
      <c r="K232" s="28">
        <v>1.69</v>
      </c>
    </row>
    <row r="233" spans="1:12" ht="15" customHeight="1" x14ac:dyDescent="0.2">
      <c r="A233" s="28" t="s">
        <v>9</v>
      </c>
      <c r="B233" s="2" t="s">
        <v>29</v>
      </c>
      <c r="C233" s="30">
        <v>1</v>
      </c>
      <c r="D233" s="28">
        <f>YEAR(TableauFlitrage[[#This Row],[Date_d_adjudication]])</f>
        <v>2016</v>
      </c>
      <c r="E233" s="28">
        <f t="shared" si="3"/>
        <v>8</v>
      </c>
      <c r="F233" s="15">
        <v>42599</v>
      </c>
      <c r="G233" s="28">
        <v>95.36911111111111</v>
      </c>
      <c r="H233" s="15">
        <v>42965</v>
      </c>
      <c r="I233">
        <v>122.50000000000001</v>
      </c>
      <c r="J233">
        <v>10000</v>
      </c>
      <c r="K233" s="28">
        <v>4.58</v>
      </c>
    </row>
    <row r="234" spans="1:12" ht="15" customHeight="1" x14ac:dyDescent="0.2">
      <c r="A234" s="28" t="s">
        <v>9</v>
      </c>
      <c r="B234" s="2" t="s">
        <v>29</v>
      </c>
      <c r="C234" s="30">
        <v>0.5</v>
      </c>
      <c r="D234" s="28">
        <f>YEAR(TableauFlitrage[[#This Row],[Date_d_adjudication]])</f>
        <v>2016</v>
      </c>
      <c r="E234" s="28">
        <f t="shared" si="3"/>
        <v>8</v>
      </c>
      <c r="F234" s="15">
        <v>42606</v>
      </c>
      <c r="G234" s="28">
        <v>97.829270833333339</v>
      </c>
      <c r="H234" s="15">
        <v>42790</v>
      </c>
      <c r="I234">
        <v>146.875</v>
      </c>
      <c r="J234">
        <v>8000</v>
      </c>
      <c r="K234" s="28">
        <v>4.2937500000000002</v>
      </c>
    </row>
    <row r="235" spans="1:12" ht="15" customHeight="1" x14ac:dyDescent="0.2">
      <c r="A235" s="28" t="s">
        <v>7</v>
      </c>
      <c r="B235" s="2" t="s">
        <v>29</v>
      </c>
      <c r="C235" s="30">
        <v>1</v>
      </c>
      <c r="D235" s="28">
        <f>YEAR(TableauFlitrage[[#This Row],[Date_d_adjudication]])</f>
        <v>2016</v>
      </c>
      <c r="E235" s="28">
        <f t="shared" si="3"/>
        <v>8</v>
      </c>
      <c r="F235" s="15">
        <v>42606</v>
      </c>
      <c r="G235" s="28">
        <v>97.553111111111107</v>
      </c>
      <c r="H235" s="15">
        <v>42972</v>
      </c>
      <c r="I235">
        <v>251.7</v>
      </c>
      <c r="J235">
        <v>7000</v>
      </c>
      <c r="K235" s="28">
        <v>2.42</v>
      </c>
    </row>
    <row r="236" spans="1:12" ht="15" customHeight="1" x14ac:dyDescent="0.2">
      <c r="A236" s="28" t="s">
        <v>11</v>
      </c>
      <c r="B236" s="2" t="s">
        <v>29</v>
      </c>
      <c r="C236" s="30">
        <v>1</v>
      </c>
      <c r="D236" s="28">
        <f>YEAR(TableauFlitrage[[#This Row],[Date_d_adjudication]])</f>
        <v>2016</v>
      </c>
      <c r="E236" s="28">
        <f t="shared" si="3"/>
        <v>8</v>
      </c>
      <c r="F236" s="15">
        <v>42606</v>
      </c>
      <c r="G236" s="28">
        <v>96.076888888888888</v>
      </c>
      <c r="H236" s="15">
        <v>42972</v>
      </c>
      <c r="I236">
        <v>100</v>
      </c>
      <c r="J236">
        <v>15000</v>
      </c>
      <c r="K236" s="28">
        <v>3.88</v>
      </c>
    </row>
    <row r="237" spans="1:12" ht="15" customHeight="1" x14ac:dyDescent="0.2">
      <c r="A237" s="28" t="s">
        <v>11</v>
      </c>
      <c r="B237" s="2" t="s">
        <v>29</v>
      </c>
      <c r="C237" s="30">
        <v>1</v>
      </c>
      <c r="D237" s="28">
        <f>YEAR(TableauFlitrage[[#This Row],[Date_d_adjudication]])</f>
        <v>2016</v>
      </c>
      <c r="E237" s="28">
        <f t="shared" si="3"/>
        <v>8</v>
      </c>
      <c r="F237" s="15">
        <v>42613</v>
      </c>
      <c r="G237" s="28">
        <v>95.985888888888894</v>
      </c>
      <c r="H237" s="15">
        <v>42979</v>
      </c>
      <c r="I237">
        <v>81</v>
      </c>
      <c r="J237">
        <v>16200</v>
      </c>
      <c r="K237" s="28">
        <v>3.97</v>
      </c>
    </row>
    <row r="238" spans="1:12" ht="15" customHeight="1" x14ac:dyDescent="0.2">
      <c r="A238" s="28" t="s">
        <v>7</v>
      </c>
      <c r="B238" s="2" t="s">
        <v>29</v>
      </c>
      <c r="C238" s="30">
        <v>1</v>
      </c>
      <c r="D238" s="28">
        <f>YEAR(TableauFlitrage[[#This Row],[Date_d_adjudication]])</f>
        <v>2016</v>
      </c>
      <c r="E238" s="28">
        <f t="shared" si="3"/>
        <v>9</v>
      </c>
      <c r="F238" s="15">
        <v>42620</v>
      </c>
      <c r="G238" s="28">
        <v>97.765444444444441</v>
      </c>
      <c r="H238" s="15">
        <v>42986</v>
      </c>
      <c r="I238">
        <v>230.7</v>
      </c>
      <c r="J238">
        <v>7000</v>
      </c>
      <c r="K238" s="28">
        <v>2.21</v>
      </c>
    </row>
    <row r="239" spans="1:12" ht="15" customHeight="1" x14ac:dyDescent="0.2">
      <c r="A239" s="28" t="s">
        <v>11</v>
      </c>
      <c r="B239" s="2" t="s">
        <v>29</v>
      </c>
      <c r="C239" s="30">
        <v>1</v>
      </c>
      <c r="D239" s="28">
        <f>YEAR(TableauFlitrage[[#This Row],[Date_d_adjudication]])</f>
        <v>2016</v>
      </c>
      <c r="E239" s="28">
        <f t="shared" si="3"/>
        <v>9</v>
      </c>
      <c r="F239" s="15">
        <v>42620</v>
      </c>
      <c r="G239" s="28">
        <v>95.45</v>
      </c>
      <c r="H239" s="15">
        <v>42986</v>
      </c>
      <c r="I239">
        <v>100</v>
      </c>
      <c r="J239">
        <v>15000</v>
      </c>
      <c r="K239" s="28">
        <v>4.5</v>
      </c>
    </row>
    <row r="240" spans="1:12" ht="15" customHeight="1" x14ac:dyDescent="0.2">
      <c r="A240" s="28" t="s">
        <v>9</v>
      </c>
      <c r="B240" s="2" t="s">
        <v>29</v>
      </c>
      <c r="C240" s="30">
        <v>0.25</v>
      </c>
      <c r="D240" s="28">
        <f>YEAR(TableauFlitrage[[#This Row],[Date_d_adjudication]])</f>
        <v>2016</v>
      </c>
      <c r="E240" s="28">
        <f t="shared" si="3"/>
        <v>9</v>
      </c>
      <c r="F240" s="15">
        <v>42620</v>
      </c>
      <c r="G240" s="28">
        <v>98.950972222222219</v>
      </c>
      <c r="H240" s="15">
        <v>42713</v>
      </c>
      <c r="I240">
        <v>66.67</v>
      </c>
      <c r="J240">
        <v>4000</v>
      </c>
      <c r="K240" s="28">
        <v>4.1500000000000004</v>
      </c>
    </row>
    <row r="241" spans="1:12" ht="15" customHeight="1" x14ac:dyDescent="0.2">
      <c r="A241" s="28" t="s">
        <v>11</v>
      </c>
      <c r="B241" t="s">
        <v>30</v>
      </c>
      <c r="C241" s="30" t="s">
        <v>54</v>
      </c>
      <c r="D241" s="28">
        <f>YEAR(TableauFlitrage[[#This Row],[Date_d_adjudication]])</f>
        <v>2016</v>
      </c>
      <c r="E241" s="28">
        <f t="shared" si="3"/>
        <v>9</v>
      </c>
      <c r="F241" s="15">
        <v>42620</v>
      </c>
      <c r="G241" s="28">
        <v>99</v>
      </c>
      <c r="H241" s="15">
        <v>43717</v>
      </c>
      <c r="I241">
        <v>100</v>
      </c>
      <c r="K241" s="28">
        <v>4</v>
      </c>
      <c r="L241">
        <v>4.0407252209133935</v>
      </c>
    </row>
    <row r="242" spans="1:12" ht="15" customHeight="1" x14ac:dyDescent="0.2">
      <c r="A242" s="28" t="s">
        <v>9</v>
      </c>
      <c r="B242" s="2" t="s">
        <v>29</v>
      </c>
      <c r="C242" s="30">
        <v>0.5</v>
      </c>
      <c r="D242" s="28">
        <f>YEAR(TableauFlitrage[[#This Row],[Date_d_adjudication]])</f>
        <v>2016</v>
      </c>
      <c r="E242" s="28">
        <f t="shared" si="3"/>
        <v>9</v>
      </c>
      <c r="F242" s="15">
        <v>42627</v>
      </c>
      <c r="G242" s="28">
        <v>97.735111111111109</v>
      </c>
      <c r="H242" s="15">
        <v>42811</v>
      </c>
      <c r="I242">
        <v>125</v>
      </c>
      <c r="J242">
        <v>8000</v>
      </c>
      <c r="K242" s="28">
        <v>4.4800000000000004</v>
      </c>
    </row>
    <row r="243" spans="1:12" ht="15" customHeight="1" x14ac:dyDescent="0.2">
      <c r="A243" s="28" t="s">
        <v>9</v>
      </c>
      <c r="B243" s="2" t="s">
        <v>29</v>
      </c>
      <c r="C243" s="30">
        <v>1</v>
      </c>
      <c r="D243" s="28">
        <f>YEAR(TableauFlitrage[[#This Row],[Date_d_adjudication]])</f>
        <v>2016</v>
      </c>
      <c r="E243" s="28">
        <f t="shared" si="3"/>
        <v>9</v>
      </c>
      <c r="F243" s="15">
        <v>42634</v>
      </c>
      <c r="G243" s="28">
        <v>95.015222222222221</v>
      </c>
      <c r="H243" s="15">
        <v>43000</v>
      </c>
      <c r="I243">
        <v>135</v>
      </c>
      <c r="J243">
        <v>10000</v>
      </c>
      <c r="K243" s="28">
        <v>4.93</v>
      </c>
    </row>
    <row r="244" spans="1:12" ht="15" customHeight="1" x14ac:dyDescent="0.2">
      <c r="A244" s="28" t="s">
        <v>7</v>
      </c>
      <c r="B244" s="2" t="s">
        <v>29</v>
      </c>
      <c r="C244" s="30">
        <v>0.25</v>
      </c>
      <c r="D244" s="28">
        <f>YEAR(TableauFlitrage[[#This Row],[Date_d_adjudication]])</f>
        <v>2016</v>
      </c>
      <c r="E244" s="28">
        <f t="shared" si="3"/>
        <v>9</v>
      </c>
      <c r="F244" s="15">
        <v>42634</v>
      </c>
      <c r="G244" s="28">
        <v>99.555111111111117</v>
      </c>
      <c r="H244" s="15">
        <v>42727</v>
      </c>
      <c r="I244">
        <v>148.9</v>
      </c>
      <c r="J244">
        <v>7000</v>
      </c>
      <c r="K244" s="28">
        <v>1.76</v>
      </c>
    </row>
    <row r="245" spans="1:12" ht="15" customHeight="1" x14ac:dyDescent="0.2">
      <c r="A245" s="28" t="s">
        <v>10</v>
      </c>
      <c r="B245" s="2" t="s">
        <v>29</v>
      </c>
      <c r="C245" s="30">
        <v>1</v>
      </c>
      <c r="D245" s="28">
        <f>YEAR(TableauFlitrage[[#This Row],[Date_d_adjudication]])</f>
        <v>2016</v>
      </c>
      <c r="E245" s="28">
        <f t="shared" si="3"/>
        <v>9</v>
      </c>
      <c r="F245" s="15">
        <v>42634</v>
      </c>
      <c r="G245" s="28">
        <v>97.836222222222219</v>
      </c>
      <c r="H245" s="15">
        <v>43000</v>
      </c>
      <c r="I245">
        <v>150</v>
      </c>
      <c r="J245">
        <v>10000</v>
      </c>
      <c r="K245" s="28">
        <v>2.14</v>
      </c>
    </row>
    <row r="246" spans="1:12" ht="15" customHeight="1" x14ac:dyDescent="0.2">
      <c r="A246" s="28" t="s">
        <v>11</v>
      </c>
      <c r="B246" t="s">
        <v>30</v>
      </c>
      <c r="C246" s="30" t="s">
        <v>53</v>
      </c>
      <c r="D246" s="28">
        <f>YEAR(TableauFlitrage[[#This Row],[Date_d_adjudication]])</f>
        <v>2016</v>
      </c>
      <c r="E246" s="28">
        <f t="shared" si="3"/>
        <v>9</v>
      </c>
      <c r="F246" s="15">
        <v>42641</v>
      </c>
      <c r="G246" s="28">
        <v>100</v>
      </c>
      <c r="H246" s="15">
        <v>43374</v>
      </c>
      <c r="I246">
        <v>100</v>
      </c>
      <c r="K246" s="28">
        <v>5</v>
      </c>
      <c r="L246">
        <v>5</v>
      </c>
    </row>
    <row r="247" spans="1:12" ht="15" customHeight="1" x14ac:dyDescent="0.2">
      <c r="A247" s="28" t="s">
        <v>7</v>
      </c>
      <c r="B247" s="2" t="s">
        <v>29</v>
      </c>
      <c r="C247" s="30">
        <v>0.25</v>
      </c>
      <c r="D247" s="28">
        <f>YEAR(TableauFlitrage[[#This Row],[Date_d_adjudication]])</f>
        <v>2016</v>
      </c>
      <c r="E247" s="28">
        <f t="shared" si="3"/>
        <v>10</v>
      </c>
      <c r="F247" s="15">
        <v>42648</v>
      </c>
      <c r="G247" s="28">
        <v>99.454993416666667</v>
      </c>
      <c r="H247" s="15">
        <v>42741</v>
      </c>
      <c r="I247">
        <v>112.5</v>
      </c>
      <c r="J247">
        <v>7000</v>
      </c>
      <c r="K247" s="28">
        <v>2.1560700000000002</v>
      </c>
    </row>
    <row r="248" spans="1:12" ht="15" customHeight="1" x14ac:dyDescent="0.2">
      <c r="A248" s="28" t="s">
        <v>9</v>
      </c>
      <c r="B248" s="2" t="s">
        <v>29</v>
      </c>
      <c r="C248" s="30">
        <v>1</v>
      </c>
      <c r="D248" s="28">
        <f>YEAR(TableauFlitrage[[#This Row],[Date_d_adjudication]])</f>
        <v>2016</v>
      </c>
      <c r="E248" s="28">
        <f t="shared" si="3"/>
        <v>10</v>
      </c>
      <c r="F248" s="15">
        <v>42648</v>
      </c>
      <c r="G248" s="28">
        <v>95.045555555555552</v>
      </c>
      <c r="H248" s="15">
        <v>43014</v>
      </c>
      <c r="I248">
        <v>164.17</v>
      </c>
      <c r="J248">
        <v>12000</v>
      </c>
      <c r="K248" s="28">
        <v>4.9000000000000004</v>
      </c>
    </row>
    <row r="249" spans="1:12" ht="15" customHeight="1" x14ac:dyDescent="0.2">
      <c r="A249" s="28" t="s">
        <v>9</v>
      </c>
      <c r="B249" s="2" t="s">
        <v>29</v>
      </c>
      <c r="C249" s="30">
        <v>0.5</v>
      </c>
      <c r="D249" s="28">
        <f>YEAR(TableauFlitrage[[#This Row],[Date_d_adjudication]])</f>
        <v>2016</v>
      </c>
      <c r="E249" s="28">
        <f t="shared" si="3"/>
        <v>10</v>
      </c>
      <c r="F249" s="15">
        <v>42655</v>
      </c>
      <c r="G249" s="28">
        <v>97.841277777777776</v>
      </c>
      <c r="H249" s="15">
        <v>42839</v>
      </c>
      <c r="I249">
        <v>256.25</v>
      </c>
      <c r="J249">
        <v>8000</v>
      </c>
      <c r="K249" s="28">
        <v>4.2699999999999996</v>
      </c>
    </row>
    <row r="250" spans="1:12" ht="15" customHeight="1" x14ac:dyDescent="0.2">
      <c r="A250" s="28" t="s">
        <v>9</v>
      </c>
      <c r="B250" s="2" t="s">
        <v>29</v>
      </c>
      <c r="C250" s="30">
        <v>0.25</v>
      </c>
      <c r="D250" s="28">
        <f>YEAR(TableauFlitrage[[#This Row],[Date_d_adjudication]])</f>
        <v>2016</v>
      </c>
      <c r="E250" s="28">
        <f t="shared" si="3"/>
        <v>10</v>
      </c>
      <c r="F250" s="15">
        <v>42662</v>
      </c>
      <c r="G250" s="28">
        <v>98.988888888888894</v>
      </c>
      <c r="H250" s="15">
        <v>42755</v>
      </c>
      <c r="I250">
        <v>131.43</v>
      </c>
      <c r="J250">
        <v>7000</v>
      </c>
      <c r="K250" s="28">
        <v>4</v>
      </c>
    </row>
    <row r="251" spans="1:12" ht="15" customHeight="1" x14ac:dyDescent="0.2">
      <c r="A251" s="28" t="s">
        <v>7</v>
      </c>
      <c r="B251" s="2" t="s">
        <v>29</v>
      </c>
      <c r="C251" s="30">
        <v>0.5</v>
      </c>
      <c r="D251" s="28">
        <f>YEAR(TableauFlitrage[[#This Row],[Date_d_adjudication]])</f>
        <v>2016</v>
      </c>
      <c r="E251" s="28">
        <f t="shared" si="3"/>
        <v>10</v>
      </c>
      <c r="F251" s="15">
        <v>42662</v>
      </c>
      <c r="G251" s="28">
        <v>98.85744444444444</v>
      </c>
      <c r="H251" s="15">
        <v>42846</v>
      </c>
      <c r="I251">
        <v>142.86000000000001</v>
      </c>
      <c r="J251">
        <v>6000</v>
      </c>
      <c r="K251" s="28">
        <v>2.2599999999999998</v>
      </c>
    </row>
    <row r="252" spans="1:12" ht="15" customHeight="1" x14ac:dyDescent="0.2">
      <c r="A252" s="28" t="s">
        <v>11</v>
      </c>
      <c r="B252" s="2" t="s">
        <v>29</v>
      </c>
      <c r="C252" s="30">
        <v>1</v>
      </c>
      <c r="D252" s="28">
        <f>YEAR(TableauFlitrage[[#This Row],[Date_d_adjudication]])</f>
        <v>2016</v>
      </c>
      <c r="E252" s="28">
        <f t="shared" si="3"/>
        <v>10</v>
      </c>
      <c r="F252" s="15">
        <v>42662</v>
      </c>
      <c r="G252" s="28">
        <v>95.702777777777783</v>
      </c>
      <c r="H252" s="15">
        <v>43028</v>
      </c>
      <c r="I252">
        <v>100</v>
      </c>
      <c r="J252">
        <v>7500</v>
      </c>
      <c r="K252" s="28">
        <v>4.25</v>
      </c>
    </row>
    <row r="253" spans="1:12" ht="15" customHeight="1" x14ac:dyDescent="0.2">
      <c r="A253" s="28" t="s">
        <v>11</v>
      </c>
      <c r="B253" t="s">
        <v>30</v>
      </c>
      <c r="C253" s="30" t="s">
        <v>53</v>
      </c>
      <c r="D253" s="28">
        <f>YEAR(TableauFlitrage[[#This Row],[Date_d_adjudication]])</f>
        <v>2016</v>
      </c>
      <c r="E253" s="28">
        <f t="shared" si="3"/>
        <v>10</v>
      </c>
      <c r="F253" s="15">
        <v>42662</v>
      </c>
      <c r="G253" s="28">
        <v>100</v>
      </c>
      <c r="H253" s="15">
        <v>43395</v>
      </c>
      <c r="I253">
        <v>100</v>
      </c>
      <c r="K253" s="28">
        <v>5</v>
      </c>
      <c r="L253">
        <v>5</v>
      </c>
    </row>
    <row r="254" spans="1:12" ht="15" customHeight="1" x14ac:dyDescent="0.2">
      <c r="A254" s="28" t="s">
        <v>9</v>
      </c>
      <c r="B254" s="2" t="s">
        <v>29</v>
      </c>
      <c r="C254" s="30">
        <v>0.25</v>
      </c>
      <c r="D254" s="28">
        <f>YEAR(TableauFlitrage[[#This Row],[Date_d_adjudication]])</f>
        <v>2016</v>
      </c>
      <c r="E254" s="28">
        <f t="shared" si="3"/>
        <v>10</v>
      </c>
      <c r="F254" s="15">
        <v>42669</v>
      </c>
      <c r="G254" s="28">
        <v>98.938333333333333</v>
      </c>
      <c r="H254" s="15">
        <v>42762</v>
      </c>
      <c r="I254">
        <v>65.569999999999993</v>
      </c>
      <c r="J254">
        <v>4000</v>
      </c>
      <c r="K254" s="28">
        <v>4.2</v>
      </c>
    </row>
    <row r="255" spans="1:12" ht="15" customHeight="1" x14ac:dyDescent="0.2">
      <c r="A255" s="28" t="s">
        <v>11</v>
      </c>
      <c r="B255" s="2" t="s">
        <v>29</v>
      </c>
      <c r="C255" s="30">
        <v>1</v>
      </c>
      <c r="D255" s="28">
        <f>YEAR(TableauFlitrage[[#This Row],[Date_d_adjudication]])</f>
        <v>2016</v>
      </c>
      <c r="E255" s="28">
        <f t="shared" si="3"/>
        <v>10</v>
      </c>
      <c r="F255" s="15">
        <v>42669</v>
      </c>
      <c r="G255" s="28">
        <v>95.793777777777777</v>
      </c>
      <c r="H255" s="15">
        <v>43035</v>
      </c>
      <c r="I255">
        <v>8</v>
      </c>
      <c r="J255">
        <v>800</v>
      </c>
      <c r="K255" s="28">
        <v>4.16</v>
      </c>
    </row>
    <row r="256" spans="1:12" ht="15" customHeight="1" x14ac:dyDescent="0.2">
      <c r="A256" s="28" t="s">
        <v>9</v>
      </c>
      <c r="B256" s="2" t="s">
        <v>29</v>
      </c>
      <c r="C256" s="30">
        <v>0.25</v>
      </c>
      <c r="D256" s="28">
        <f>YEAR(TableauFlitrage[[#This Row],[Date_d_adjudication]])</f>
        <v>2016</v>
      </c>
      <c r="E256" s="28">
        <f t="shared" si="3"/>
        <v>11</v>
      </c>
      <c r="F256" s="15">
        <v>42676</v>
      </c>
      <c r="G256" s="28">
        <v>98.915583333333331</v>
      </c>
      <c r="H256" s="15">
        <v>42769</v>
      </c>
      <c r="I256">
        <v>130</v>
      </c>
      <c r="J256">
        <v>10000</v>
      </c>
      <c r="K256" s="28">
        <v>4.29</v>
      </c>
    </row>
    <row r="257" spans="1:12" ht="15" customHeight="1" x14ac:dyDescent="0.2">
      <c r="A257" s="28" t="s">
        <v>9</v>
      </c>
      <c r="B257" s="2" t="s">
        <v>29</v>
      </c>
      <c r="C257" s="30">
        <v>0.5</v>
      </c>
      <c r="D257" s="28">
        <f>YEAR(TableauFlitrage[[#This Row],[Date_d_adjudication]])</f>
        <v>2016</v>
      </c>
      <c r="E257" s="28">
        <f t="shared" si="3"/>
        <v>11</v>
      </c>
      <c r="F257" s="15">
        <v>42683</v>
      </c>
      <c r="G257" s="28">
        <v>97.634</v>
      </c>
      <c r="H257" s="15">
        <v>42867</v>
      </c>
      <c r="I257">
        <v>133.75</v>
      </c>
      <c r="J257">
        <v>8000</v>
      </c>
      <c r="K257" s="28">
        <v>4.68</v>
      </c>
    </row>
    <row r="258" spans="1:12" ht="15" customHeight="1" x14ac:dyDescent="0.2">
      <c r="A258" s="28" t="s">
        <v>9</v>
      </c>
      <c r="B258" s="2" t="s">
        <v>29</v>
      </c>
      <c r="C258" s="30">
        <v>1</v>
      </c>
      <c r="D258" s="28">
        <f>YEAR(TableauFlitrage[[#This Row],[Date_d_adjudication]])</f>
        <v>2016</v>
      </c>
      <c r="E258" s="28">
        <f t="shared" ref="E258:E319" si="4">MONTH(F258)</f>
        <v>11</v>
      </c>
      <c r="F258" s="15">
        <v>42690</v>
      </c>
      <c r="G258" s="28">
        <v>95.490444444444449</v>
      </c>
      <c r="H258" s="15">
        <v>43056</v>
      </c>
      <c r="I258">
        <v>155</v>
      </c>
      <c r="J258">
        <v>10000</v>
      </c>
      <c r="K258" s="28">
        <v>4.46</v>
      </c>
    </row>
    <row r="259" spans="1:12" ht="15" customHeight="1" x14ac:dyDescent="0.2">
      <c r="A259" s="28" t="s">
        <v>7</v>
      </c>
      <c r="B259" s="2" t="s">
        <v>29</v>
      </c>
      <c r="C259" s="30">
        <v>0.5</v>
      </c>
      <c r="D259" s="28">
        <f>YEAR(TableauFlitrage[[#This Row],[Date_d_adjudication]])</f>
        <v>2016</v>
      </c>
      <c r="E259" s="28">
        <f t="shared" si="4"/>
        <v>11</v>
      </c>
      <c r="F259" s="15">
        <v>42690</v>
      </c>
      <c r="G259" s="28">
        <v>98.786666666666662</v>
      </c>
      <c r="H259" s="15">
        <v>42874</v>
      </c>
      <c r="I259">
        <v>100.64</v>
      </c>
      <c r="J259">
        <v>4350</v>
      </c>
      <c r="K259" s="28">
        <v>2.4</v>
      </c>
    </row>
    <row r="260" spans="1:12" ht="15" customHeight="1" x14ac:dyDescent="0.2">
      <c r="A260" s="28" t="s">
        <v>14</v>
      </c>
      <c r="B260" s="2" t="s">
        <v>29</v>
      </c>
      <c r="C260" s="30">
        <v>0.5</v>
      </c>
      <c r="D260" s="28">
        <f>YEAR(TableauFlitrage[[#This Row],[Date_d_adjudication]])</f>
        <v>2016</v>
      </c>
      <c r="E260" s="28">
        <f t="shared" si="4"/>
        <v>11</v>
      </c>
      <c r="F260" s="15">
        <v>42690</v>
      </c>
      <c r="G260" s="28">
        <v>97.371111111111105</v>
      </c>
      <c r="H260" s="15">
        <v>42874</v>
      </c>
      <c r="I260">
        <v>100</v>
      </c>
      <c r="J260">
        <v>5500</v>
      </c>
      <c r="K260" s="28">
        <v>5.2</v>
      </c>
    </row>
    <row r="261" spans="1:12" ht="15" customHeight="1" x14ac:dyDescent="0.2">
      <c r="A261" s="28" t="s">
        <v>11</v>
      </c>
      <c r="B261" s="2" t="s">
        <v>29</v>
      </c>
      <c r="C261" s="30">
        <v>1</v>
      </c>
      <c r="D261" s="28">
        <f>YEAR(TableauFlitrage[[#This Row],[Date_d_adjudication]])</f>
        <v>2016</v>
      </c>
      <c r="E261" s="28">
        <f t="shared" si="4"/>
        <v>11</v>
      </c>
      <c r="F261" s="15">
        <v>42697</v>
      </c>
      <c r="G261" s="28">
        <v>95.702777777777783</v>
      </c>
      <c r="H261" s="15">
        <v>43063</v>
      </c>
      <c r="I261">
        <v>40</v>
      </c>
      <c r="J261">
        <v>8000</v>
      </c>
      <c r="K261" s="28">
        <v>4.25</v>
      </c>
    </row>
    <row r="262" spans="1:12" ht="15" customHeight="1" x14ac:dyDescent="0.2">
      <c r="A262" s="28" t="s">
        <v>10</v>
      </c>
      <c r="B262" s="2" t="s">
        <v>29</v>
      </c>
      <c r="C262" s="30">
        <v>1</v>
      </c>
      <c r="D262" s="28">
        <f>YEAR(TableauFlitrage[[#This Row],[Date_d_adjudication]])</f>
        <v>2016</v>
      </c>
      <c r="E262" s="28">
        <f t="shared" si="4"/>
        <v>11</v>
      </c>
      <c r="F262" s="15">
        <v>42697</v>
      </c>
      <c r="G262" s="28">
        <v>95.965666666666664</v>
      </c>
      <c r="H262" s="15">
        <v>43063</v>
      </c>
      <c r="I262">
        <v>105</v>
      </c>
      <c r="J262">
        <v>10000</v>
      </c>
      <c r="K262" s="28">
        <v>3.99</v>
      </c>
    </row>
    <row r="263" spans="1:12" ht="15" customHeight="1" x14ac:dyDescent="0.2">
      <c r="A263" s="28" t="s">
        <v>9</v>
      </c>
      <c r="B263" s="2" t="s">
        <v>29</v>
      </c>
      <c r="C263" s="30">
        <v>0.5</v>
      </c>
      <c r="D263" s="28">
        <f>YEAR(TableauFlitrage[[#This Row],[Date_d_adjudication]])</f>
        <v>2016</v>
      </c>
      <c r="E263" s="28">
        <f t="shared" si="4"/>
        <v>11</v>
      </c>
      <c r="F263" s="15">
        <v>42697</v>
      </c>
      <c r="G263" s="28">
        <v>97.810944444444445</v>
      </c>
      <c r="H263" s="15">
        <v>42881</v>
      </c>
      <c r="I263">
        <v>118.75</v>
      </c>
      <c r="J263">
        <v>8000</v>
      </c>
      <c r="K263" s="28">
        <v>4.33</v>
      </c>
    </row>
    <row r="264" spans="1:12" ht="15" customHeight="1" x14ac:dyDescent="0.2">
      <c r="A264" s="28" t="s">
        <v>9</v>
      </c>
      <c r="B264" t="s">
        <v>30</v>
      </c>
      <c r="C264" s="30" t="s">
        <v>53</v>
      </c>
      <c r="D264" s="28">
        <f>YEAR(TableauFlitrage[[#This Row],[Date_d_adjudication]])</f>
        <v>2016</v>
      </c>
      <c r="E264" s="28">
        <f t="shared" si="4"/>
        <v>11</v>
      </c>
      <c r="F264" s="15">
        <v>42697</v>
      </c>
      <c r="G264" s="28">
        <v>99.51</v>
      </c>
      <c r="H264" s="15">
        <v>43430</v>
      </c>
      <c r="I264">
        <v>250</v>
      </c>
      <c r="J264">
        <v>5000</v>
      </c>
      <c r="K264" s="28">
        <v>4.75</v>
      </c>
      <c r="L264">
        <v>4.7741165124506644</v>
      </c>
    </row>
    <row r="265" spans="1:12" ht="15" customHeight="1" x14ac:dyDescent="0.2">
      <c r="A265" s="28" t="s">
        <v>9</v>
      </c>
      <c r="B265" s="2" t="s">
        <v>29</v>
      </c>
      <c r="C265" s="30">
        <v>1</v>
      </c>
      <c r="D265" s="28">
        <f>YEAR(TableauFlitrage[[#This Row],[Date_d_adjudication]])</f>
        <v>2016</v>
      </c>
      <c r="E265" s="28">
        <f t="shared" si="4"/>
        <v>11</v>
      </c>
      <c r="F265" s="15">
        <v>42704</v>
      </c>
      <c r="G265" s="28">
        <v>95.328666666666663</v>
      </c>
      <c r="H265" s="15">
        <v>43070</v>
      </c>
      <c r="I265">
        <v>112.00000000000001</v>
      </c>
      <c r="J265">
        <v>10000</v>
      </c>
      <c r="K265" s="28">
        <v>4.62</v>
      </c>
    </row>
    <row r="266" spans="1:12" ht="15" customHeight="1" x14ac:dyDescent="0.2">
      <c r="A266" s="28" t="s">
        <v>11</v>
      </c>
      <c r="B266" s="2" t="s">
        <v>29</v>
      </c>
      <c r="C266" s="30">
        <v>0.25</v>
      </c>
      <c r="D266" s="28">
        <f>YEAR(TableauFlitrage[[#This Row],[Date_d_adjudication]])</f>
        <v>2016</v>
      </c>
      <c r="E266" s="28">
        <f t="shared" si="4"/>
        <v>11</v>
      </c>
      <c r="F266" s="15">
        <v>42704</v>
      </c>
      <c r="G266" s="28">
        <v>99.052083333333329</v>
      </c>
      <c r="H266" s="15">
        <v>42797</v>
      </c>
      <c r="I266">
        <v>60</v>
      </c>
      <c r="J266">
        <v>3000</v>
      </c>
      <c r="K266" s="28">
        <v>3.75</v>
      </c>
    </row>
    <row r="267" spans="1:12" ht="15" customHeight="1" x14ac:dyDescent="0.2">
      <c r="A267" s="28" t="s">
        <v>7</v>
      </c>
      <c r="B267" s="2" t="s">
        <v>29</v>
      </c>
      <c r="C267" s="30">
        <v>0.25</v>
      </c>
      <c r="D267" s="28">
        <f>YEAR(TableauFlitrage[[#This Row],[Date_d_adjudication]])</f>
        <v>2016</v>
      </c>
      <c r="E267" s="28">
        <f t="shared" si="4"/>
        <v>12</v>
      </c>
      <c r="F267" s="15">
        <v>42711</v>
      </c>
      <c r="G267" s="28">
        <v>99.294029583333327</v>
      </c>
      <c r="H267" s="15">
        <v>42804</v>
      </c>
      <c r="I267">
        <v>128.57</v>
      </c>
      <c r="J267">
        <v>7000</v>
      </c>
      <c r="K267" s="28">
        <v>2.7928500000000001</v>
      </c>
    </row>
    <row r="268" spans="1:12" ht="15" customHeight="1" x14ac:dyDescent="0.2">
      <c r="A268" s="28" t="s">
        <v>9</v>
      </c>
      <c r="B268" s="2" t="s">
        <v>29</v>
      </c>
      <c r="C268" s="30">
        <v>0.25</v>
      </c>
      <c r="D268" s="28">
        <f>YEAR(TableauFlitrage[[#This Row],[Date_d_adjudication]])</f>
        <v>2016</v>
      </c>
      <c r="E268" s="28">
        <f t="shared" si="4"/>
        <v>12</v>
      </c>
      <c r="F268" s="15">
        <v>42711</v>
      </c>
      <c r="G268" s="28">
        <v>98.905156250000005</v>
      </c>
      <c r="H268" s="15">
        <v>42804</v>
      </c>
      <c r="I268">
        <v>162.5</v>
      </c>
      <c r="J268">
        <v>8000</v>
      </c>
      <c r="K268" s="28">
        <v>4.3312499999999998</v>
      </c>
    </row>
    <row r="269" spans="1:12" ht="15" customHeight="1" x14ac:dyDescent="0.2">
      <c r="A269" s="28" t="s">
        <v>9</v>
      </c>
      <c r="B269" s="2" t="s">
        <v>29</v>
      </c>
      <c r="C269" s="30">
        <v>0.5</v>
      </c>
      <c r="D269" s="28">
        <f>YEAR(TableauFlitrage[[#This Row],[Date_d_adjudication]])</f>
        <v>2016</v>
      </c>
      <c r="E269" s="28">
        <f t="shared" si="4"/>
        <v>12</v>
      </c>
      <c r="F269" s="15">
        <v>42718</v>
      </c>
      <c r="G269" s="28">
        <v>97.593555555555554</v>
      </c>
      <c r="H269" s="15">
        <v>42902</v>
      </c>
      <c r="I269">
        <v>219</v>
      </c>
      <c r="J269">
        <v>10000</v>
      </c>
      <c r="K269" s="28">
        <v>4.76</v>
      </c>
    </row>
    <row r="270" spans="1:12" ht="15" customHeight="1" x14ac:dyDescent="0.2">
      <c r="A270" s="28" t="s">
        <v>7</v>
      </c>
      <c r="B270" s="2" t="s">
        <v>29</v>
      </c>
      <c r="C270" s="30">
        <v>0.5</v>
      </c>
      <c r="D270" s="28">
        <f>YEAR(TableauFlitrage[[#This Row],[Date_d_adjudication]])</f>
        <v>2016</v>
      </c>
      <c r="E270" s="28">
        <f t="shared" si="4"/>
        <v>12</v>
      </c>
      <c r="F270" s="15">
        <v>42718</v>
      </c>
      <c r="G270" s="28">
        <v>98.640055555555563</v>
      </c>
      <c r="H270" s="15">
        <v>42902</v>
      </c>
      <c r="I270">
        <v>156.79000000000002</v>
      </c>
      <c r="J270">
        <v>6400</v>
      </c>
      <c r="K270" s="28">
        <v>2.69</v>
      </c>
    </row>
    <row r="271" spans="1:12" ht="15" customHeight="1" x14ac:dyDescent="0.2">
      <c r="A271" s="28" t="s">
        <v>10</v>
      </c>
      <c r="B271" s="2" t="s">
        <v>29</v>
      </c>
      <c r="C271" s="30">
        <v>1</v>
      </c>
      <c r="D271" s="28">
        <f>YEAR(TableauFlitrage[[#This Row],[Date_d_adjudication]])</f>
        <v>2016</v>
      </c>
      <c r="E271" s="28">
        <f t="shared" si="4"/>
        <v>12</v>
      </c>
      <c r="F271" s="15">
        <v>42718</v>
      </c>
      <c r="G271" s="28">
        <v>94.226555555555549</v>
      </c>
      <c r="H271" s="15">
        <v>43084</v>
      </c>
      <c r="I271">
        <v>165</v>
      </c>
      <c r="J271">
        <v>20000</v>
      </c>
      <c r="K271" s="28">
        <v>5.71</v>
      </c>
    </row>
    <row r="272" spans="1:12" ht="15" customHeight="1" x14ac:dyDescent="0.2">
      <c r="A272" s="28" t="s">
        <v>9</v>
      </c>
      <c r="B272" t="s">
        <v>30</v>
      </c>
      <c r="C272" s="30" t="s">
        <v>53</v>
      </c>
      <c r="D272" s="28">
        <f>YEAR(TableauFlitrage[[#This Row],[Date_d_adjudication]])</f>
        <v>2016</v>
      </c>
      <c r="E272" s="28">
        <f t="shared" si="4"/>
        <v>12</v>
      </c>
      <c r="F272" s="15">
        <v>42718.715671296297</v>
      </c>
      <c r="G272" s="28">
        <v>98.62</v>
      </c>
      <c r="H272" s="15">
        <v>43430</v>
      </c>
      <c r="I272">
        <v>100</v>
      </c>
      <c r="J272">
        <v>10000</v>
      </c>
      <c r="K272" s="28">
        <v>4.75</v>
      </c>
      <c r="L272">
        <v>4.8185194684367882</v>
      </c>
    </row>
    <row r="273" spans="1:12" ht="15" customHeight="1" x14ac:dyDescent="0.2">
      <c r="A273" s="28" t="s">
        <v>11</v>
      </c>
      <c r="B273" s="2" t="s">
        <v>29</v>
      </c>
      <c r="C273" s="30">
        <v>1</v>
      </c>
      <c r="D273" s="28">
        <f>YEAR(TableauFlitrage[[#This Row],[Date_d_adjudication]])</f>
        <v>2016</v>
      </c>
      <c r="E273" s="28">
        <f t="shared" si="4"/>
        <v>12</v>
      </c>
      <c r="F273" s="15">
        <v>42725</v>
      </c>
      <c r="G273" s="28">
        <v>95.514579666666663</v>
      </c>
      <c r="H273" s="15">
        <v>43091</v>
      </c>
      <c r="I273">
        <v>54.800000000000004</v>
      </c>
      <c r="J273">
        <v>13700</v>
      </c>
      <c r="K273" s="28">
        <v>4.4361300000000004</v>
      </c>
    </row>
    <row r="274" spans="1:12" ht="15" customHeight="1" x14ac:dyDescent="0.2">
      <c r="A274" s="28" t="s">
        <v>9</v>
      </c>
      <c r="B274" s="2" t="s">
        <v>29</v>
      </c>
      <c r="C274" s="30">
        <v>1</v>
      </c>
      <c r="D274" s="28">
        <f>YEAR(TableauFlitrage[[#This Row],[Date_d_adjudication]])</f>
        <v>2016</v>
      </c>
      <c r="E274" s="28">
        <f t="shared" si="4"/>
        <v>12</v>
      </c>
      <c r="F274" s="15">
        <v>42732</v>
      </c>
      <c r="G274" s="28">
        <v>95.146666666666661</v>
      </c>
      <c r="H274" s="15">
        <v>43098</v>
      </c>
      <c r="I274">
        <v>155</v>
      </c>
      <c r="J274">
        <v>10000</v>
      </c>
      <c r="K274" s="28">
        <v>4.8</v>
      </c>
    </row>
    <row r="275" spans="1:12" ht="15" customHeight="1" x14ac:dyDescent="0.2">
      <c r="A275" s="28" t="s">
        <v>11</v>
      </c>
      <c r="B275" t="s">
        <v>30</v>
      </c>
      <c r="C275" s="30" t="s">
        <v>53</v>
      </c>
      <c r="D275" s="28">
        <f>YEAR(TableauFlitrage[[#This Row],[Date_d_adjudication]])</f>
        <v>2016</v>
      </c>
      <c r="E275" s="28">
        <f t="shared" si="4"/>
        <v>12</v>
      </c>
      <c r="F275" s="15">
        <v>42732</v>
      </c>
      <c r="G275" s="28">
        <v>99</v>
      </c>
      <c r="H275" s="15">
        <v>43465</v>
      </c>
      <c r="I275">
        <v>60</v>
      </c>
      <c r="K275" s="28">
        <v>4.5</v>
      </c>
      <c r="L275">
        <v>4.5469973916627744</v>
      </c>
    </row>
    <row r="276" spans="1:12" ht="15" customHeight="1" x14ac:dyDescent="0.2">
      <c r="A276" s="28" t="s">
        <v>9</v>
      </c>
      <c r="B276" s="2" t="s">
        <v>29</v>
      </c>
      <c r="C276" s="30">
        <v>0.25</v>
      </c>
      <c r="D276" s="28">
        <f>YEAR(TableauFlitrage[[#This Row],[Date_d_adjudication]])</f>
        <v>2017</v>
      </c>
      <c r="E276" s="28">
        <f t="shared" si="4"/>
        <v>1</v>
      </c>
      <c r="F276" s="15">
        <v>42739</v>
      </c>
      <c r="G276" s="28">
        <v>99.047027777777771</v>
      </c>
      <c r="H276" s="15">
        <v>42832</v>
      </c>
      <c r="I276">
        <v>137.5</v>
      </c>
      <c r="J276">
        <v>12000</v>
      </c>
      <c r="K276" s="28">
        <v>3.77</v>
      </c>
    </row>
    <row r="277" spans="1:12" ht="15" customHeight="1" x14ac:dyDescent="0.2">
      <c r="A277" s="28" t="s">
        <v>9</v>
      </c>
      <c r="B277" s="2" t="s">
        <v>29</v>
      </c>
      <c r="C277" s="30">
        <v>0.5</v>
      </c>
      <c r="D277" s="28">
        <f>YEAR(TableauFlitrage[[#This Row],[Date_d_adjudication]])</f>
        <v>2017</v>
      </c>
      <c r="E277" s="28">
        <f t="shared" si="4"/>
        <v>1</v>
      </c>
      <c r="F277" s="15">
        <v>42746</v>
      </c>
      <c r="G277" s="28">
        <v>97.603666666666669</v>
      </c>
      <c r="H277" s="15">
        <v>42930</v>
      </c>
      <c r="I277">
        <v>150</v>
      </c>
      <c r="J277">
        <v>8000</v>
      </c>
      <c r="K277" s="28">
        <v>4.74</v>
      </c>
    </row>
    <row r="278" spans="1:12" ht="15" customHeight="1" x14ac:dyDescent="0.2">
      <c r="A278" s="28" t="s">
        <v>14</v>
      </c>
      <c r="B278" s="2" t="s">
        <v>29</v>
      </c>
      <c r="C278" s="30">
        <v>0.5</v>
      </c>
      <c r="D278" s="28">
        <f>YEAR(TableauFlitrage[[#This Row],[Date_d_adjudication]])</f>
        <v>2017</v>
      </c>
      <c r="E278" s="28">
        <f t="shared" si="4"/>
        <v>1</v>
      </c>
      <c r="F278" s="15">
        <v>42746</v>
      </c>
      <c r="G278" s="28">
        <v>97.376166666666663</v>
      </c>
      <c r="H278" s="15">
        <v>42930</v>
      </c>
      <c r="I278">
        <v>100</v>
      </c>
      <c r="J278">
        <v>4000</v>
      </c>
      <c r="K278" s="28">
        <v>5.19</v>
      </c>
    </row>
    <row r="279" spans="1:12" ht="15" customHeight="1" x14ac:dyDescent="0.2">
      <c r="A279" s="28" t="s">
        <v>9</v>
      </c>
      <c r="B279" s="2" t="s">
        <v>29</v>
      </c>
      <c r="C279" s="30">
        <v>0.5</v>
      </c>
      <c r="D279" s="28">
        <f>YEAR(TableauFlitrage[[#This Row],[Date_d_adjudication]])</f>
        <v>2017</v>
      </c>
      <c r="E279" s="28">
        <f t="shared" si="4"/>
        <v>1</v>
      </c>
      <c r="F279" s="15">
        <v>42753</v>
      </c>
      <c r="G279" s="28">
        <v>97.553111111111107</v>
      </c>
      <c r="H279" s="15">
        <v>42937</v>
      </c>
      <c r="I279">
        <v>169.9</v>
      </c>
      <c r="J279">
        <v>8000</v>
      </c>
      <c r="K279" s="28">
        <v>4.84</v>
      </c>
    </row>
    <row r="280" spans="1:12" ht="15" customHeight="1" x14ac:dyDescent="0.2">
      <c r="A280" s="28" t="s">
        <v>9</v>
      </c>
      <c r="B280" s="2" t="s">
        <v>29</v>
      </c>
      <c r="C280" s="30">
        <v>0.25</v>
      </c>
      <c r="D280" s="28">
        <f>YEAR(TableauFlitrage[[#This Row],[Date_d_adjudication]])</f>
        <v>2017</v>
      </c>
      <c r="E280" s="28">
        <f t="shared" si="4"/>
        <v>1</v>
      </c>
      <c r="F280" s="15">
        <v>42760</v>
      </c>
      <c r="G280" s="28">
        <v>98.945916666666662</v>
      </c>
      <c r="H280" s="15">
        <v>42853</v>
      </c>
      <c r="I280">
        <v>71.430000000000007</v>
      </c>
      <c r="J280">
        <v>4600</v>
      </c>
      <c r="K280" s="28">
        <v>4.17</v>
      </c>
    </row>
    <row r="281" spans="1:12" ht="15" customHeight="1" x14ac:dyDescent="0.2">
      <c r="A281" s="28" t="s">
        <v>11</v>
      </c>
      <c r="B281" s="2" t="s">
        <v>29</v>
      </c>
      <c r="C281" s="30">
        <v>1</v>
      </c>
      <c r="D281" s="28">
        <f>YEAR(TableauFlitrage[[#This Row],[Date_d_adjudication]])</f>
        <v>2017</v>
      </c>
      <c r="E281" s="28">
        <f t="shared" si="4"/>
        <v>1</v>
      </c>
      <c r="F281" s="15">
        <v>42760</v>
      </c>
      <c r="G281" s="28">
        <v>95.197222222222223</v>
      </c>
      <c r="H281" s="15">
        <v>43126</v>
      </c>
      <c r="I281">
        <v>46.67</v>
      </c>
      <c r="J281">
        <v>7000</v>
      </c>
      <c r="K281" s="28">
        <v>4.75</v>
      </c>
    </row>
    <row r="282" spans="1:12" ht="15" customHeight="1" x14ac:dyDescent="0.2">
      <c r="A282" s="28" t="s">
        <v>7</v>
      </c>
      <c r="B282" s="2" t="s">
        <v>29</v>
      </c>
      <c r="C282" s="30">
        <v>0.25</v>
      </c>
      <c r="D282" s="28">
        <f>YEAR(TableauFlitrage[[#This Row],[Date_d_adjudication]])</f>
        <v>2017</v>
      </c>
      <c r="E282" s="28">
        <f t="shared" si="4"/>
        <v>2</v>
      </c>
      <c r="F282" s="15">
        <v>42767</v>
      </c>
      <c r="G282" s="28">
        <v>99.249250000000004</v>
      </c>
      <c r="H282" s="15">
        <v>42860</v>
      </c>
      <c r="I282">
        <v>97.5</v>
      </c>
      <c r="J282">
        <v>5750</v>
      </c>
      <c r="K282" s="28">
        <v>2.97</v>
      </c>
    </row>
    <row r="283" spans="1:12" ht="15" customHeight="1" x14ac:dyDescent="0.2">
      <c r="A283" s="28" t="s">
        <v>9</v>
      </c>
      <c r="B283" s="2" t="s">
        <v>29</v>
      </c>
      <c r="C283" s="30">
        <v>0.25</v>
      </c>
      <c r="D283" s="28">
        <f>YEAR(TableauFlitrage[[#This Row],[Date_d_adjudication]])</f>
        <v>2017</v>
      </c>
      <c r="E283" s="28">
        <f t="shared" si="4"/>
        <v>2</v>
      </c>
      <c r="F283" s="15">
        <v>42767</v>
      </c>
      <c r="G283" s="28">
        <v>98.799305555555549</v>
      </c>
      <c r="H283" s="15">
        <v>42860</v>
      </c>
      <c r="I283">
        <v>108.24000000000001</v>
      </c>
      <c r="J283">
        <v>8500</v>
      </c>
      <c r="K283" s="28">
        <v>4.75</v>
      </c>
    </row>
    <row r="284" spans="1:12" ht="15" customHeight="1" x14ac:dyDescent="0.2">
      <c r="A284" s="28" t="s">
        <v>9</v>
      </c>
      <c r="B284" s="2" t="s">
        <v>29</v>
      </c>
      <c r="C284" s="30">
        <v>1</v>
      </c>
      <c r="D284" s="28">
        <f>YEAR(TableauFlitrage[[#This Row],[Date_d_adjudication]])</f>
        <v>2017</v>
      </c>
      <c r="E284" s="28">
        <f t="shared" si="4"/>
        <v>2</v>
      </c>
      <c r="F284" s="15">
        <v>42774</v>
      </c>
      <c r="G284" s="28">
        <v>94.711888888888893</v>
      </c>
      <c r="H284" s="15">
        <v>43140</v>
      </c>
      <c r="I284">
        <v>65.28</v>
      </c>
      <c r="J284">
        <v>4975</v>
      </c>
      <c r="K284" s="28">
        <v>5.23</v>
      </c>
    </row>
    <row r="285" spans="1:12" ht="15" customHeight="1" x14ac:dyDescent="0.2">
      <c r="A285" s="28" t="s">
        <v>7</v>
      </c>
      <c r="B285" s="2" t="s">
        <v>29</v>
      </c>
      <c r="C285" s="30">
        <v>0.5</v>
      </c>
      <c r="D285" s="28">
        <f>YEAR(TableauFlitrage[[#This Row],[Date_d_adjudication]])</f>
        <v>2017</v>
      </c>
      <c r="E285" s="28">
        <f t="shared" si="4"/>
        <v>2</v>
      </c>
      <c r="F285" s="15">
        <v>42774</v>
      </c>
      <c r="G285" s="28">
        <v>98.37211111111111</v>
      </c>
      <c r="H285" s="15">
        <v>42958</v>
      </c>
      <c r="I285">
        <v>118.63999999999999</v>
      </c>
      <c r="J285">
        <v>4805</v>
      </c>
      <c r="K285" s="28">
        <v>3.22</v>
      </c>
    </row>
    <row r="286" spans="1:12" ht="15" customHeight="1" x14ac:dyDescent="0.2">
      <c r="A286" s="28" t="s">
        <v>7</v>
      </c>
      <c r="B286" s="2" t="s">
        <v>29</v>
      </c>
      <c r="C286" s="30">
        <v>0.25</v>
      </c>
      <c r="D286" s="28">
        <f>YEAR(TableauFlitrage[[#This Row],[Date_d_adjudication]])</f>
        <v>2017</v>
      </c>
      <c r="E286" s="28">
        <f t="shared" si="4"/>
        <v>2</v>
      </c>
      <c r="F286" s="15">
        <v>42781</v>
      </c>
      <c r="G286" s="28">
        <v>99.201222222222228</v>
      </c>
      <c r="H286" s="15">
        <v>42874</v>
      </c>
      <c r="I286">
        <v>130</v>
      </c>
      <c r="J286">
        <v>4500</v>
      </c>
      <c r="K286" s="28">
        <v>3.16</v>
      </c>
    </row>
    <row r="287" spans="1:12" ht="15" customHeight="1" x14ac:dyDescent="0.2">
      <c r="A287" s="28" t="s">
        <v>9</v>
      </c>
      <c r="B287" s="2" t="s">
        <v>29</v>
      </c>
      <c r="C287" s="30">
        <v>0.5</v>
      </c>
      <c r="D287" s="28">
        <f>YEAR(TableauFlitrage[[#This Row],[Date_d_adjudication]])</f>
        <v>2017</v>
      </c>
      <c r="E287" s="28">
        <f t="shared" si="4"/>
        <v>2</v>
      </c>
      <c r="F287" s="15">
        <v>42788</v>
      </c>
      <c r="G287" s="28">
        <v>97.401444444444451</v>
      </c>
      <c r="H287" s="15">
        <v>42972</v>
      </c>
      <c r="I287">
        <v>99</v>
      </c>
      <c r="J287">
        <v>9500</v>
      </c>
      <c r="K287" s="28">
        <v>5.14</v>
      </c>
    </row>
    <row r="288" spans="1:12" ht="15" customHeight="1" x14ac:dyDescent="0.2">
      <c r="A288" s="28" t="s">
        <v>10</v>
      </c>
      <c r="B288" s="2" t="s">
        <v>29</v>
      </c>
      <c r="C288" s="30">
        <v>1</v>
      </c>
      <c r="D288" s="28">
        <f>YEAR(TableauFlitrage[[#This Row],[Date_d_adjudication]])</f>
        <v>2017</v>
      </c>
      <c r="E288" s="28">
        <f t="shared" si="4"/>
        <v>2</v>
      </c>
      <c r="F288" s="15">
        <v>42788</v>
      </c>
      <c r="G288" s="28">
        <v>94.004111111111115</v>
      </c>
      <c r="H288" s="15">
        <v>43154</v>
      </c>
      <c r="I288">
        <v>80</v>
      </c>
      <c r="J288">
        <v>12000</v>
      </c>
      <c r="K288" s="28">
        <v>5.93</v>
      </c>
    </row>
    <row r="289" spans="1:11" ht="15" customHeight="1" x14ac:dyDescent="0.2">
      <c r="A289" s="28" t="s">
        <v>8</v>
      </c>
      <c r="B289" s="2" t="s">
        <v>29</v>
      </c>
      <c r="C289" s="30">
        <v>0.25</v>
      </c>
      <c r="D289" s="28">
        <f>YEAR(TableauFlitrage[[#This Row],[Date_d_adjudication]])</f>
        <v>2017</v>
      </c>
      <c r="E289" s="28">
        <f t="shared" si="4"/>
        <v>2</v>
      </c>
      <c r="F289" s="15">
        <v>42788</v>
      </c>
      <c r="G289" s="28">
        <v>99.054611111111114</v>
      </c>
      <c r="H289" s="15">
        <v>42881</v>
      </c>
      <c r="I289">
        <v>82.13000000000001</v>
      </c>
      <c r="J289">
        <v>4000</v>
      </c>
      <c r="K289" s="28">
        <v>3.74</v>
      </c>
    </row>
    <row r="290" spans="1:11" ht="15" customHeight="1" x14ac:dyDescent="0.2">
      <c r="A290" s="28" t="s">
        <v>7</v>
      </c>
      <c r="B290" s="2" t="s">
        <v>29</v>
      </c>
      <c r="C290" s="30">
        <v>0.25</v>
      </c>
      <c r="D290" s="28">
        <f>YEAR(TableauFlitrage[[#This Row],[Date_d_adjudication]])</f>
        <v>2017</v>
      </c>
      <c r="E290" s="28">
        <f t="shared" si="4"/>
        <v>3</v>
      </c>
      <c r="F290" s="15">
        <v>42795</v>
      </c>
      <c r="G290" s="28">
        <v>99.256833333333333</v>
      </c>
      <c r="H290" s="15">
        <v>42888</v>
      </c>
      <c r="I290">
        <v>229.99999999999997</v>
      </c>
      <c r="J290">
        <v>5000</v>
      </c>
      <c r="K290" s="28">
        <v>2.94</v>
      </c>
    </row>
    <row r="291" spans="1:11" ht="15" customHeight="1" x14ac:dyDescent="0.2">
      <c r="A291" s="28" t="s">
        <v>9</v>
      </c>
      <c r="B291" s="2" t="s">
        <v>29</v>
      </c>
      <c r="C291" s="30">
        <v>0.25</v>
      </c>
      <c r="D291" s="28">
        <f>YEAR(TableauFlitrage[[#This Row],[Date_d_adjudication]])</f>
        <v>2017</v>
      </c>
      <c r="E291" s="28">
        <f t="shared" si="4"/>
        <v>3</v>
      </c>
      <c r="F291" s="15">
        <v>42795</v>
      </c>
      <c r="G291" s="28">
        <v>98.758861111111116</v>
      </c>
      <c r="H291" s="15">
        <v>42888</v>
      </c>
      <c r="I291">
        <v>118.75</v>
      </c>
      <c r="J291">
        <v>8000</v>
      </c>
      <c r="K291" s="28">
        <v>4.91</v>
      </c>
    </row>
    <row r="292" spans="1:11" ht="15" customHeight="1" x14ac:dyDescent="0.2">
      <c r="A292" s="28" t="s">
        <v>7</v>
      </c>
      <c r="B292" s="2" t="s">
        <v>29</v>
      </c>
      <c r="C292" s="30">
        <v>0.25</v>
      </c>
      <c r="D292" s="28">
        <f>YEAR(TableauFlitrage[[#This Row],[Date_d_adjudication]])</f>
        <v>2017</v>
      </c>
      <c r="E292" s="28">
        <f t="shared" si="4"/>
        <v>3</v>
      </c>
      <c r="F292" s="15">
        <v>42802</v>
      </c>
      <c r="G292" s="28">
        <v>99.236611111111117</v>
      </c>
      <c r="H292" s="15">
        <v>42895</v>
      </c>
      <c r="I292">
        <v>175</v>
      </c>
      <c r="J292">
        <v>5000</v>
      </c>
      <c r="K292" s="28">
        <v>3.02</v>
      </c>
    </row>
    <row r="293" spans="1:11" ht="15" customHeight="1" x14ac:dyDescent="0.2">
      <c r="A293" s="28" t="s">
        <v>9</v>
      </c>
      <c r="B293" s="2" t="s">
        <v>29</v>
      </c>
      <c r="C293" s="30">
        <v>0.5</v>
      </c>
      <c r="D293" s="28">
        <f>YEAR(TableauFlitrage[[#This Row],[Date_d_adjudication]])</f>
        <v>2017</v>
      </c>
      <c r="E293" s="28">
        <f t="shared" si="4"/>
        <v>3</v>
      </c>
      <c r="F293" s="15">
        <v>42809</v>
      </c>
      <c r="G293" s="28">
        <v>97.422298611111117</v>
      </c>
      <c r="H293" s="15">
        <v>42993</v>
      </c>
      <c r="I293">
        <v>80.5</v>
      </c>
      <c r="J293">
        <v>12000</v>
      </c>
      <c r="K293" s="28">
        <v>5.0987499999999999</v>
      </c>
    </row>
    <row r="294" spans="1:11" ht="15" customHeight="1" x14ac:dyDescent="0.2">
      <c r="A294" s="28" t="s">
        <v>9</v>
      </c>
      <c r="B294" s="2" t="s">
        <v>29</v>
      </c>
      <c r="C294" s="30">
        <v>0.25</v>
      </c>
      <c r="D294" s="28">
        <f>YEAR(TableauFlitrage[[#This Row],[Date_d_adjudication]])</f>
        <v>2017</v>
      </c>
      <c r="E294" s="28">
        <f t="shared" si="4"/>
        <v>3</v>
      </c>
      <c r="F294" s="15">
        <v>42816</v>
      </c>
      <c r="G294" s="28">
        <v>98.703249999999997</v>
      </c>
      <c r="H294" s="15">
        <v>42909</v>
      </c>
      <c r="I294">
        <v>50.749999999999993</v>
      </c>
      <c r="J294">
        <v>5000</v>
      </c>
      <c r="K294" s="28">
        <v>5.13</v>
      </c>
    </row>
    <row r="295" spans="1:11" ht="15" customHeight="1" x14ac:dyDescent="0.2">
      <c r="A295" s="28" t="s">
        <v>7</v>
      </c>
      <c r="B295" s="2" t="s">
        <v>29</v>
      </c>
      <c r="C295" s="30">
        <v>0.5</v>
      </c>
      <c r="D295" s="28">
        <f>YEAR(TableauFlitrage[[#This Row],[Date_d_adjudication]])</f>
        <v>2017</v>
      </c>
      <c r="E295" s="28">
        <f t="shared" si="4"/>
        <v>3</v>
      </c>
      <c r="F295" s="15">
        <v>42816</v>
      </c>
      <c r="G295" s="28">
        <v>98.150409833333327</v>
      </c>
      <c r="H295" s="15">
        <v>43000</v>
      </c>
      <c r="I295">
        <v>115.5</v>
      </c>
      <c r="J295">
        <v>4100</v>
      </c>
      <c r="K295" s="28">
        <v>3.6585299999999998</v>
      </c>
    </row>
    <row r="296" spans="1:11" ht="15" customHeight="1" x14ac:dyDescent="0.2">
      <c r="A296" s="28" t="s">
        <v>9</v>
      </c>
      <c r="B296" s="2" t="s">
        <v>29</v>
      </c>
      <c r="C296" s="30">
        <v>0.25</v>
      </c>
      <c r="D296" s="28">
        <f>YEAR(TableauFlitrage[[#This Row],[Date_d_adjudication]])</f>
        <v>2017</v>
      </c>
      <c r="E296" s="28">
        <f t="shared" si="4"/>
        <v>4</v>
      </c>
      <c r="F296" s="15">
        <v>42830</v>
      </c>
      <c r="G296" s="28">
        <v>98.609722222222217</v>
      </c>
      <c r="H296" s="15">
        <v>42923</v>
      </c>
      <c r="I296">
        <v>128.18</v>
      </c>
      <c r="J296">
        <v>11000</v>
      </c>
      <c r="K296" s="28">
        <v>5.5</v>
      </c>
    </row>
    <row r="297" spans="1:11" ht="15" customHeight="1" x14ac:dyDescent="0.2">
      <c r="A297" s="28" t="s">
        <v>9</v>
      </c>
      <c r="B297" s="2" t="s">
        <v>29</v>
      </c>
      <c r="C297" s="30">
        <v>0.5</v>
      </c>
      <c r="D297" s="28">
        <f>YEAR(TableauFlitrage[[#This Row],[Date_d_adjudication]])</f>
        <v>2017</v>
      </c>
      <c r="E297" s="28">
        <f t="shared" si="4"/>
        <v>4</v>
      </c>
      <c r="F297" s="15">
        <v>42837</v>
      </c>
      <c r="G297" s="28">
        <v>97.305388888888885</v>
      </c>
      <c r="H297" s="15">
        <v>43021</v>
      </c>
      <c r="I297">
        <v>110.99000000000001</v>
      </c>
      <c r="J297">
        <v>8000</v>
      </c>
      <c r="K297" s="28">
        <v>5.33</v>
      </c>
    </row>
    <row r="298" spans="1:11" ht="15" customHeight="1" x14ac:dyDescent="0.2">
      <c r="A298" s="28" t="s">
        <v>7</v>
      </c>
      <c r="B298" s="2" t="s">
        <v>29</v>
      </c>
      <c r="C298" s="30">
        <v>0.5</v>
      </c>
      <c r="D298" s="28">
        <f>YEAR(TableauFlitrage[[#This Row],[Date_d_adjudication]])</f>
        <v>2017</v>
      </c>
      <c r="E298" s="28">
        <f t="shared" si="4"/>
        <v>4</v>
      </c>
      <c r="F298" s="15">
        <v>42837</v>
      </c>
      <c r="G298" s="28">
        <v>98.276055555555558</v>
      </c>
      <c r="H298" s="15">
        <v>43021</v>
      </c>
      <c r="I298">
        <v>223.89999999999998</v>
      </c>
      <c r="J298">
        <v>5000</v>
      </c>
      <c r="K298" s="28">
        <v>3.41</v>
      </c>
    </row>
    <row r="299" spans="1:11" ht="15" customHeight="1" x14ac:dyDescent="0.2">
      <c r="A299" s="28" t="s">
        <v>10</v>
      </c>
      <c r="B299" s="2" t="s">
        <v>29</v>
      </c>
      <c r="C299" s="30">
        <v>1</v>
      </c>
      <c r="D299" s="28">
        <f>YEAR(TableauFlitrage[[#This Row],[Date_d_adjudication]])</f>
        <v>2017</v>
      </c>
      <c r="E299" s="28">
        <f t="shared" si="4"/>
        <v>4</v>
      </c>
      <c r="F299" s="15">
        <v>42844</v>
      </c>
      <c r="G299" s="28">
        <v>94.519777777777776</v>
      </c>
      <c r="H299" s="15">
        <v>43210</v>
      </c>
      <c r="I299">
        <v>10</v>
      </c>
      <c r="J299">
        <v>1500</v>
      </c>
      <c r="K299" s="28">
        <v>5.42</v>
      </c>
    </row>
    <row r="300" spans="1:11" ht="15" customHeight="1" x14ac:dyDescent="0.2">
      <c r="A300" s="28" t="s">
        <v>7</v>
      </c>
      <c r="B300" s="2" t="s">
        <v>29</v>
      </c>
      <c r="C300" s="30">
        <v>0.25</v>
      </c>
      <c r="D300" s="28">
        <f>YEAR(TableauFlitrage[[#This Row],[Date_d_adjudication]])</f>
        <v>2017</v>
      </c>
      <c r="E300" s="28">
        <f t="shared" si="4"/>
        <v>4</v>
      </c>
      <c r="F300" s="15">
        <v>42844</v>
      </c>
      <c r="G300" s="28">
        <v>99.244194444444446</v>
      </c>
      <c r="H300" s="15">
        <v>42937</v>
      </c>
      <c r="I300">
        <v>221.5</v>
      </c>
      <c r="J300">
        <v>5000</v>
      </c>
      <c r="K300" s="28">
        <v>2.99</v>
      </c>
    </row>
    <row r="301" spans="1:11" ht="15" customHeight="1" x14ac:dyDescent="0.2">
      <c r="A301" s="28" t="s">
        <v>9</v>
      </c>
      <c r="B301" s="2" t="s">
        <v>29</v>
      </c>
      <c r="C301" s="30">
        <v>0.5</v>
      </c>
      <c r="D301" s="28">
        <f>YEAR(TableauFlitrage[[#This Row],[Date_d_adjudication]])</f>
        <v>2017</v>
      </c>
      <c r="E301" s="28">
        <f t="shared" si="4"/>
        <v>4</v>
      </c>
      <c r="F301" s="15">
        <v>42844</v>
      </c>
      <c r="G301" s="28">
        <v>97.376166666666663</v>
      </c>
      <c r="H301" s="15">
        <v>43028</v>
      </c>
      <c r="I301">
        <v>88.33</v>
      </c>
      <c r="J301">
        <v>10525</v>
      </c>
      <c r="K301" s="28">
        <v>5.19</v>
      </c>
    </row>
    <row r="302" spans="1:11" ht="15" customHeight="1" x14ac:dyDescent="0.2">
      <c r="A302" s="28" t="s">
        <v>9</v>
      </c>
      <c r="B302" s="2" t="s">
        <v>29</v>
      </c>
      <c r="C302" s="30">
        <v>0.5</v>
      </c>
      <c r="D302" s="28">
        <f>YEAR(TableauFlitrage[[#This Row],[Date_d_adjudication]])</f>
        <v>2017</v>
      </c>
      <c r="E302" s="28">
        <f t="shared" si="4"/>
        <v>4</v>
      </c>
      <c r="F302" s="15">
        <v>42851</v>
      </c>
      <c r="G302" s="28">
        <v>97.396388888888893</v>
      </c>
      <c r="H302" s="15">
        <v>43035</v>
      </c>
      <c r="I302">
        <v>83.33</v>
      </c>
      <c r="J302">
        <v>5000</v>
      </c>
      <c r="K302" s="28">
        <v>5.15</v>
      </c>
    </row>
    <row r="303" spans="1:11" ht="15" customHeight="1" x14ac:dyDescent="0.2">
      <c r="A303" s="28" t="s">
        <v>7</v>
      </c>
      <c r="B303" s="2" t="s">
        <v>29</v>
      </c>
      <c r="C303" s="30">
        <v>0.25</v>
      </c>
      <c r="D303" s="28">
        <f>YEAR(TableauFlitrage[[#This Row],[Date_d_adjudication]])</f>
        <v>2017</v>
      </c>
      <c r="E303" s="28">
        <f t="shared" si="4"/>
        <v>4</v>
      </c>
      <c r="F303" s="15">
        <v>42851</v>
      </c>
      <c r="G303" s="28">
        <v>99.239138888888888</v>
      </c>
      <c r="H303" s="15">
        <v>42944</v>
      </c>
      <c r="I303">
        <v>231.5</v>
      </c>
      <c r="J303">
        <v>5000</v>
      </c>
      <c r="K303" s="28">
        <v>3.01</v>
      </c>
    </row>
    <row r="304" spans="1:11" ht="15" customHeight="1" x14ac:dyDescent="0.2">
      <c r="A304" s="28" t="s">
        <v>7</v>
      </c>
      <c r="B304" s="2" t="s">
        <v>29</v>
      </c>
      <c r="C304" s="30">
        <v>0.5</v>
      </c>
      <c r="D304" s="28">
        <f>YEAR(TableauFlitrage[[#This Row],[Date_d_adjudication]])</f>
        <v>2017</v>
      </c>
      <c r="E304" s="28">
        <f t="shared" si="4"/>
        <v>5</v>
      </c>
      <c r="F304" s="15">
        <v>42858</v>
      </c>
      <c r="G304" s="28">
        <v>98.235611111111112</v>
      </c>
      <c r="H304" s="15">
        <v>43042</v>
      </c>
      <c r="I304">
        <v>151.5</v>
      </c>
      <c r="J304">
        <v>5000</v>
      </c>
      <c r="K304" s="28">
        <v>3.49</v>
      </c>
    </row>
    <row r="305" spans="1:12" ht="15" customHeight="1" x14ac:dyDescent="0.2">
      <c r="A305" s="28" t="s">
        <v>9</v>
      </c>
      <c r="B305" s="2" t="s">
        <v>29</v>
      </c>
      <c r="C305" s="30">
        <v>0.25</v>
      </c>
      <c r="D305" s="28">
        <f>YEAR(TableauFlitrage[[#This Row],[Date_d_adjudication]])</f>
        <v>2017</v>
      </c>
      <c r="E305" s="28">
        <f t="shared" si="4"/>
        <v>5</v>
      </c>
      <c r="F305" s="15">
        <v>42858</v>
      </c>
      <c r="G305" s="28">
        <v>98.680499999999995</v>
      </c>
      <c r="H305" s="15">
        <v>42951</v>
      </c>
      <c r="I305">
        <v>88.24</v>
      </c>
      <c r="J305">
        <v>7500</v>
      </c>
      <c r="K305" s="28">
        <v>5.22</v>
      </c>
    </row>
    <row r="306" spans="1:12" ht="15" customHeight="1" x14ac:dyDescent="0.2">
      <c r="A306" s="28" t="s">
        <v>9</v>
      </c>
      <c r="B306" s="2" t="s">
        <v>29</v>
      </c>
      <c r="C306" s="30">
        <v>0.5</v>
      </c>
      <c r="D306" s="28">
        <f>YEAR(TableauFlitrage[[#This Row],[Date_d_adjudication]])</f>
        <v>2017</v>
      </c>
      <c r="E306" s="28">
        <f t="shared" si="4"/>
        <v>5</v>
      </c>
      <c r="F306" s="15">
        <v>42865</v>
      </c>
      <c r="G306" s="28">
        <v>97.285166666666669</v>
      </c>
      <c r="H306" s="15">
        <v>43049</v>
      </c>
      <c r="I306">
        <v>71.289999999999992</v>
      </c>
      <c r="J306">
        <v>6060</v>
      </c>
      <c r="K306" s="28">
        <v>5.37</v>
      </c>
    </row>
    <row r="307" spans="1:12" ht="15" customHeight="1" x14ac:dyDescent="0.2">
      <c r="A307" s="28" t="s">
        <v>7</v>
      </c>
      <c r="B307" s="2" t="s">
        <v>29</v>
      </c>
      <c r="C307" s="30">
        <v>0.25</v>
      </c>
      <c r="D307" s="28">
        <f>YEAR(TableauFlitrage[[#This Row],[Date_d_adjudication]])</f>
        <v>2017</v>
      </c>
      <c r="E307" s="28">
        <f t="shared" si="4"/>
        <v>5</v>
      </c>
      <c r="F307" s="15">
        <v>42865</v>
      </c>
      <c r="G307" s="28">
        <v>99.249250000000004</v>
      </c>
      <c r="H307" s="15">
        <v>42958</v>
      </c>
      <c r="I307">
        <v>266</v>
      </c>
      <c r="J307">
        <v>5000</v>
      </c>
      <c r="K307" s="28">
        <v>2.97</v>
      </c>
    </row>
    <row r="308" spans="1:12" ht="15" customHeight="1" x14ac:dyDescent="0.2">
      <c r="A308" s="28" t="s">
        <v>14</v>
      </c>
      <c r="B308" s="2" t="s">
        <v>29</v>
      </c>
      <c r="C308" s="30">
        <v>0.5</v>
      </c>
      <c r="D308" s="28">
        <f>YEAR(TableauFlitrage[[#This Row],[Date_d_adjudication]])</f>
        <v>2017</v>
      </c>
      <c r="E308" s="28">
        <f t="shared" si="4"/>
        <v>5</v>
      </c>
      <c r="F308" s="15">
        <v>42865</v>
      </c>
      <c r="G308" s="28">
        <v>97.310444444444443</v>
      </c>
      <c r="H308" s="15">
        <v>43049</v>
      </c>
      <c r="I308">
        <v>100</v>
      </c>
      <c r="J308">
        <v>5500</v>
      </c>
      <c r="K308" s="28">
        <v>5.32</v>
      </c>
    </row>
    <row r="309" spans="1:12" ht="15" customHeight="1" x14ac:dyDescent="0.2">
      <c r="A309" s="28" t="s">
        <v>7</v>
      </c>
      <c r="B309" s="2" t="s">
        <v>29</v>
      </c>
      <c r="C309" s="30">
        <v>1</v>
      </c>
      <c r="D309" s="28">
        <f>YEAR(TableauFlitrage[[#This Row],[Date_d_adjudication]])</f>
        <v>2017</v>
      </c>
      <c r="E309" s="28">
        <f t="shared" si="4"/>
        <v>5</v>
      </c>
      <c r="F309" s="15">
        <v>42872</v>
      </c>
      <c r="G309" s="28">
        <v>96.157777777777781</v>
      </c>
      <c r="H309" s="15">
        <v>43238</v>
      </c>
      <c r="I309">
        <v>79.64</v>
      </c>
      <c r="J309">
        <v>5000</v>
      </c>
      <c r="K309" s="28">
        <v>3.8</v>
      </c>
    </row>
    <row r="310" spans="1:12" ht="15" customHeight="1" x14ac:dyDescent="0.2">
      <c r="A310" s="28" t="s">
        <v>10</v>
      </c>
      <c r="B310" s="2" t="s">
        <v>29</v>
      </c>
      <c r="C310" s="30">
        <v>1</v>
      </c>
      <c r="D310" s="28">
        <f>YEAR(TableauFlitrage[[#This Row],[Date_d_adjudication]])</f>
        <v>2017</v>
      </c>
      <c r="E310" s="28">
        <f t="shared" si="4"/>
        <v>5</v>
      </c>
      <c r="F310" s="15">
        <v>42872</v>
      </c>
      <c r="G310" s="28">
        <v>94.398444444444451</v>
      </c>
      <c r="H310" s="15">
        <v>43238</v>
      </c>
      <c r="I310">
        <v>40</v>
      </c>
      <c r="J310">
        <v>6000</v>
      </c>
      <c r="K310" s="28">
        <v>5.54</v>
      </c>
    </row>
    <row r="311" spans="1:12" ht="15" customHeight="1" x14ac:dyDescent="0.2">
      <c r="A311" s="28" t="s">
        <v>9</v>
      </c>
      <c r="B311" s="2" t="s">
        <v>29</v>
      </c>
      <c r="C311" s="30">
        <v>1</v>
      </c>
      <c r="D311" s="28">
        <f>YEAR(TableauFlitrage[[#This Row],[Date_d_adjudication]])</f>
        <v>2017</v>
      </c>
      <c r="E311" s="28">
        <f t="shared" si="4"/>
        <v>5</v>
      </c>
      <c r="F311" s="15">
        <v>42872</v>
      </c>
      <c r="G311" s="28">
        <v>94.297333333333327</v>
      </c>
      <c r="H311" s="15">
        <v>43238</v>
      </c>
      <c r="I311">
        <v>63.639999999999993</v>
      </c>
      <c r="J311">
        <v>7000</v>
      </c>
      <c r="K311" s="28">
        <v>5.64</v>
      </c>
    </row>
    <row r="312" spans="1:12" ht="15" customHeight="1" x14ac:dyDescent="0.2">
      <c r="A312" s="28" t="s">
        <v>9</v>
      </c>
      <c r="B312" s="2" t="s">
        <v>29</v>
      </c>
      <c r="C312" s="30">
        <v>0.5</v>
      </c>
      <c r="D312" s="28">
        <f>YEAR(TableauFlitrage[[#This Row],[Date_d_adjudication]])</f>
        <v>2017</v>
      </c>
      <c r="E312" s="28">
        <f t="shared" si="4"/>
        <v>5</v>
      </c>
      <c r="F312" s="15">
        <v>42879</v>
      </c>
      <c r="G312" s="28">
        <v>97.138555555555556</v>
      </c>
      <c r="H312" s="15">
        <v>43063</v>
      </c>
      <c r="I312">
        <v>41.47</v>
      </c>
      <c r="J312">
        <v>3732</v>
      </c>
      <c r="K312" s="28">
        <v>5.66</v>
      </c>
    </row>
    <row r="313" spans="1:12" ht="15" customHeight="1" x14ac:dyDescent="0.2">
      <c r="A313" s="28" t="s">
        <v>7</v>
      </c>
      <c r="B313" s="2" t="s">
        <v>29</v>
      </c>
      <c r="C313" s="30">
        <v>0.5</v>
      </c>
      <c r="D313" s="28">
        <f>YEAR(TableauFlitrage[[#This Row],[Date_d_adjudication]])</f>
        <v>2017</v>
      </c>
      <c r="E313" s="28">
        <f t="shared" si="4"/>
        <v>5</v>
      </c>
      <c r="F313" s="15">
        <v>42879</v>
      </c>
      <c r="G313" s="28">
        <v>98.245722222222227</v>
      </c>
      <c r="H313" s="15">
        <v>43063</v>
      </c>
      <c r="I313">
        <v>160</v>
      </c>
      <c r="J313">
        <v>5000</v>
      </c>
      <c r="K313" s="28">
        <v>3.47</v>
      </c>
    </row>
    <row r="314" spans="1:12" ht="15" customHeight="1" x14ac:dyDescent="0.2">
      <c r="A314" s="28" t="s">
        <v>9</v>
      </c>
      <c r="B314" s="2" t="s">
        <v>29</v>
      </c>
      <c r="C314" s="30">
        <v>0.25</v>
      </c>
      <c r="D314" s="28">
        <f>YEAR(TableauFlitrage[[#This Row],[Date_d_adjudication]])</f>
        <v>2017</v>
      </c>
      <c r="E314" s="28">
        <f t="shared" si="4"/>
        <v>5</v>
      </c>
      <c r="F314" s="15">
        <v>42886</v>
      </c>
      <c r="G314" s="28">
        <v>98.695666666666668</v>
      </c>
      <c r="H314" s="15">
        <v>42979</v>
      </c>
      <c r="I314">
        <v>135.56</v>
      </c>
      <c r="J314">
        <v>8200</v>
      </c>
      <c r="K314" s="28">
        <v>5.16</v>
      </c>
    </row>
    <row r="315" spans="1:12" ht="15" customHeight="1" x14ac:dyDescent="0.2">
      <c r="A315" s="28" t="s">
        <v>7</v>
      </c>
      <c r="B315" s="2" t="s">
        <v>29</v>
      </c>
      <c r="C315" s="30">
        <v>0.5</v>
      </c>
      <c r="D315" s="28">
        <f>YEAR(TableauFlitrage[[#This Row],[Date_d_adjudication]])</f>
        <v>2017</v>
      </c>
      <c r="E315" s="28">
        <f t="shared" si="4"/>
        <v>6</v>
      </c>
      <c r="F315" s="15">
        <v>42893</v>
      </c>
      <c r="G315" s="28">
        <v>98.291222222222217</v>
      </c>
      <c r="H315" s="15">
        <v>43077</v>
      </c>
      <c r="I315">
        <v>221</v>
      </c>
      <c r="J315">
        <v>5000</v>
      </c>
      <c r="K315" s="28">
        <v>3.38</v>
      </c>
    </row>
    <row r="316" spans="1:12" ht="15" customHeight="1" x14ac:dyDescent="0.2">
      <c r="A316" s="28" t="s">
        <v>9</v>
      </c>
      <c r="B316" s="2" t="s">
        <v>29</v>
      </c>
      <c r="C316" s="30">
        <v>0.25</v>
      </c>
      <c r="D316" s="28">
        <f>YEAR(TableauFlitrage[[#This Row],[Date_d_adjudication]])</f>
        <v>2017</v>
      </c>
      <c r="E316" s="28">
        <f t="shared" si="4"/>
        <v>6</v>
      </c>
      <c r="F316" s="15">
        <v>42893</v>
      </c>
      <c r="G316" s="28">
        <v>98.695666666666668</v>
      </c>
      <c r="H316" s="15">
        <v>42986</v>
      </c>
      <c r="I316">
        <v>47</v>
      </c>
      <c r="J316">
        <v>4700</v>
      </c>
      <c r="K316" s="28">
        <v>5.16</v>
      </c>
    </row>
    <row r="317" spans="1:12" ht="15" customHeight="1" x14ac:dyDescent="0.2">
      <c r="A317" s="28" t="s">
        <v>11</v>
      </c>
      <c r="B317" t="s">
        <v>30</v>
      </c>
      <c r="C317" s="30" t="s">
        <v>53</v>
      </c>
      <c r="D317" s="28">
        <f>YEAR(TableauFlitrage[[#This Row],[Date_d_adjudication]])</f>
        <v>2017</v>
      </c>
      <c r="E317" s="28">
        <f t="shared" si="4"/>
        <v>6</v>
      </c>
      <c r="F317" s="15">
        <v>42893</v>
      </c>
      <c r="G317" s="28">
        <v>100</v>
      </c>
      <c r="H317" s="15">
        <v>43626</v>
      </c>
      <c r="I317">
        <v>89.33</v>
      </c>
      <c r="K317" s="28">
        <v>4.5</v>
      </c>
      <c r="L317">
        <v>4.5</v>
      </c>
    </row>
    <row r="318" spans="1:12" ht="15" customHeight="1" x14ac:dyDescent="0.2">
      <c r="A318" s="28" t="s">
        <v>9</v>
      </c>
      <c r="B318" s="2" t="s">
        <v>29</v>
      </c>
      <c r="C318" s="30">
        <v>0.5</v>
      </c>
      <c r="D318" s="28">
        <f>YEAR(TableauFlitrage[[#This Row],[Date_d_adjudication]])</f>
        <v>2017</v>
      </c>
      <c r="E318" s="28">
        <f t="shared" si="4"/>
        <v>6</v>
      </c>
      <c r="F318" s="15">
        <v>42900</v>
      </c>
      <c r="G318" s="28">
        <v>97.27</v>
      </c>
      <c r="H318" s="15">
        <v>43084</v>
      </c>
      <c r="I318">
        <v>100</v>
      </c>
      <c r="J318">
        <v>10000</v>
      </c>
      <c r="K318" s="28">
        <v>5.4</v>
      </c>
    </row>
    <row r="319" spans="1:12" ht="15" customHeight="1" x14ac:dyDescent="0.2">
      <c r="A319" s="28" t="s">
        <v>7</v>
      </c>
      <c r="B319" s="2" t="s">
        <v>29</v>
      </c>
      <c r="C319" s="30">
        <v>0.5</v>
      </c>
      <c r="D319" s="28">
        <f>YEAR(TableauFlitrage[[#This Row],[Date_d_adjudication]])</f>
        <v>2017</v>
      </c>
      <c r="E319" s="28">
        <f t="shared" si="4"/>
        <v>6</v>
      </c>
      <c r="F319" s="15">
        <v>42900</v>
      </c>
      <c r="G319" s="28">
        <v>98.245722222222227</v>
      </c>
      <c r="H319" s="15">
        <v>43084</v>
      </c>
      <c r="I319">
        <v>154</v>
      </c>
      <c r="J319">
        <v>5000</v>
      </c>
      <c r="K319" s="28">
        <v>3.47</v>
      </c>
    </row>
    <row r="320" spans="1:12" ht="15" customHeight="1" x14ac:dyDescent="0.2">
      <c r="A320" s="28" t="s">
        <v>11</v>
      </c>
      <c r="B320" s="2" t="s">
        <v>29</v>
      </c>
      <c r="C320" s="30">
        <v>1</v>
      </c>
      <c r="D320" s="28">
        <f>YEAR(TableauFlitrage[[#This Row],[Date_d_adjudication]])</f>
        <v>2017</v>
      </c>
      <c r="E320" s="28">
        <f t="shared" ref="E320:E381" si="5">MONTH(F320)</f>
        <v>6</v>
      </c>
      <c r="F320" s="15">
        <v>42900</v>
      </c>
      <c r="G320" s="28">
        <v>94.934333333333328</v>
      </c>
      <c r="H320" s="15">
        <v>43266</v>
      </c>
      <c r="I320">
        <v>96.67</v>
      </c>
      <c r="J320">
        <v>14500</v>
      </c>
      <c r="K320" s="28">
        <v>5.01</v>
      </c>
    </row>
    <row r="321" spans="1:11" ht="15" customHeight="1" x14ac:dyDescent="0.2">
      <c r="A321" s="28" t="s">
        <v>10</v>
      </c>
      <c r="B321" s="2" t="s">
        <v>29</v>
      </c>
      <c r="C321" s="30">
        <v>1</v>
      </c>
      <c r="D321" s="28">
        <f>YEAR(TableauFlitrage[[#This Row],[Date_d_adjudication]])</f>
        <v>2017</v>
      </c>
      <c r="E321" s="28">
        <f t="shared" si="5"/>
        <v>6</v>
      </c>
      <c r="F321" s="15">
        <v>42907</v>
      </c>
      <c r="G321" s="28">
        <v>93.25588888888889</v>
      </c>
      <c r="H321" s="15">
        <v>43273</v>
      </c>
      <c r="I321">
        <v>100</v>
      </c>
      <c r="J321">
        <v>15000</v>
      </c>
      <c r="K321" s="28">
        <v>6.67</v>
      </c>
    </row>
    <row r="322" spans="1:11" ht="15" customHeight="1" x14ac:dyDescent="0.2">
      <c r="A322" s="28" t="s">
        <v>9</v>
      </c>
      <c r="B322" s="2" t="s">
        <v>29</v>
      </c>
      <c r="C322" s="30">
        <v>0.5</v>
      </c>
      <c r="D322" s="28">
        <f>YEAR(TableauFlitrage[[#This Row],[Date_d_adjudication]])</f>
        <v>2017</v>
      </c>
      <c r="E322" s="28">
        <f t="shared" si="5"/>
        <v>6</v>
      </c>
      <c r="F322" s="15">
        <v>42907</v>
      </c>
      <c r="G322" s="28">
        <v>97.194166666666661</v>
      </c>
      <c r="H322" s="15">
        <v>43091</v>
      </c>
      <c r="I322">
        <v>52.739999999999995</v>
      </c>
      <c r="J322">
        <v>4219</v>
      </c>
      <c r="K322" s="28">
        <v>5.55</v>
      </c>
    </row>
    <row r="323" spans="1:11" ht="15" customHeight="1" x14ac:dyDescent="0.2">
      <c r="A323" s="28" t="s">
        <v>7</v>
      </c>
      <c r="B323" s="2" t="s">
        <v>29</v>
      </c>
      <c r="C323" s="30">
        <v>0.25</v>
      </c>
      <c r="D323" s="28">
        <f>YEAR(TableauFlitrage[[#This Row],[Date_d_adjudication]])</f>
        <v>2017</v>
      </c>
      <c r="E323" s="28">
        <f t="shared" si="5"/>
        <v>6</v>
      </c>
      <c r="F323" s="15">
        <v>42914</v>
      </c>
      <c r="G323" s="28">
        <v>99.249250000000004</v>
      </c>
      <c r="H323" s="15">
        <v>43007</v>
      </c>
      <c r="I323">
        <v>170</v>
      </c>
      <c r="J323">
        <v>5000</v>
      </c>
      <c r="K323" s="28">
        <v>2.97</v>
      </c>
    </row>
    <row r="324" spans="1:11" ht="15" customHeight="1" x14ac:dyDescent="0.2">
      <c r="A324" s="28" t="s">
        <v>7</v>
      </c>
      <c r="B324" s="2" t="s">
        <v>29</v>
      </c>
      <c r="C324" s="30">
        <v>0.25</v>
      </c>
      <c r="D324" s="28">
        <f>YEAR(TableauFlitrage[[#This Row],[Date_d_adjudication]])</f>
        <v>2017</v>
      </c>
      <c r="E324" s="28">
        <f t="shared" si="5"/>
        <v>7</v>
      </c>
      <c r="F324" s="15">
        <v>42921</v>
      </c>
      <c r="G324" s="28">
        <v>99.208805555555557</v>
      </c>
      <c r="H324" s="15">
        <v>43014</v>
      </c>
      <c r="I324">
        <v>105.5</v>
      </c>
      <c r="J324">
        <v>5000</v>
      </c>
      <c r="K324" s="28">
        <v>3.13</v>
      </c>
    </row>
    <row r="325" spans="1:11" ht="15" customHeight="1" x14ac:dyDescent="0.2">
      <c r="A325" s="28" t="s">
        <v>14</v>
      </c>
      <c r="B325" s="2" t="s">
        <v>29</v>
      </c>
      <c r="C325" s="30">
        <v>0.5</v>
      </c>
      <c r="D325" s="28">
        <f>YEAR(TableauFlitrage[[#This Row],[Date_d_adjudication]])</f>
        <v>2017</v>
      </c>
      <c r="E325" s="28">
        <f t="shared" si="5"/>
        <v>7</v>
      </c>
      <c r="F325" s="15">
        <v>42921</v>
      </c>
      <c r="G325" s="28">
        <v>97.472222222222229</v>
      </c>
      <c r="H325" s="15">
        <v>43105</v>
      </c>
      <c r="I325">
        <v>112.5</v>
      </c>
      <c r="J325">
        <v>4000</v>
      </c>
      <c r="K325" s="28">
        <v>5</v>
      </c>
    </row>
    <row r="326" spans="1:11" ht="15" customHeight="1" x14ac:dyDescent="0.2">
      <c r="A326" s="28" t="s">
        <v>9</v>
      </c>
      <c r="B326" s="2" t="s">
        <v>29</v>
      </c>
      <c r="C326" s="30">
        <v>0.5</v>
      </c>
      <c r="D326" s="28">
        <f>YEAR(TableauFlitrage[[#This Row],[Date_d_adjudication]])</f>
        <v>2017</v>
      </c>
      <c r="E326" s="28">
        <f t="shared" si="5"/>
        <v>7</v>
      </c>
      <c r="F326" s="15">
        <v>42921</v>
      </c>
      <c r="G326" s="28">
        <v>97.103166666666667</v>
      </c>
      <c r="H326" s="15">
        <v>43105</v>
      </c>
      <c r="I326">
        <v>81.820000000000007</v>
      </c>
      <c r="J326">
        <v>11000</v>
      </c>
      <c r="K326" s="28">
        <v>5.73</v>
      </c>
    </row>
    <row r="327" spans="1:11" ht="15" customHeight="1" x14ac:dyDescent="0.2">
      <c r="A327" s="28" t="s">
        <v>8</v>
      </c>
      <c r="B327" s="2" t="s">
        <v>29</v>
      </c>
      <c r="C327" s="30">
        <v>0.25</v>
      </c>
      <c r="D327" s="28">
        <f>YEAR(TableauFlitrage[[#This Row],[Date_d_adjudication]])</f>
        <v>2017</v>
      </c>
      <c r="E327" s="28">
        <f t="shared" si="5"/>
        <v>7</v>
      </c>
      <c r="F327" s="15">
        <v>42921</v>
      </c>
      <c r="G327" s="28">
        <v>98.736111111111114</v>
      </c>
      <c r="H327" s="15">
        <v>43014</v>
      </c>
      <c r="I327">
        <v>65</v>
      </c>
      <c r="J327">
        <v>8000</v>
      </c>
      <c r="K327" s="28">
        <v>5</v>
      </c>
    </row>
    <row r="328" spans="1:11" ht="15" customHeight="1" x14ac:dyDescent="0.2">
      <c r="A328" s="28" t="s">
        <v>9</v>
      </c>
      <c r="B328" s="2" t="s">
        <v>29</v>
      </c>
      <c r="C328" s="30">
        <v>0.5</v>
      </c>
      <c r="D328" s="28">
        <f>YEAR(TableauFlitrage[[#This Row],[Date_d_adjudication]])</f>
        <v>2017</v>
      </c>
      <c r="E328" s="28">
        <f t="shared" si="5"/>
        <v>7</v>
      </c>
      <c r="F328" s="15">
        <v>42928</v>
      </c>
      <c r="G328" s="28">
        <v>97.012166666666673</v>
      </c>
      <c r="H328" s="15">
        <v>43112</v>
      </c>
      <c r="I328">
        <v>73.33</v>
      </c>
      <c r="J328">
        <v>7500</v>
      </c>
      <c r="K328" s="28">
        <v>5.91</v>
      </c>
    </row>
    <row r="329" spans="1:11" ht="15" customHeight="1" x14ac:dyDescent="0.2">
      <c r="A329" s="28" t="s">
        <v>7</v>
      </c>
      <c r="B329" s="2" t="s">
        <v>29</v>
      </c>
      <c r="C329" s="30">
        <v>0.25</v>
      </c>
      <c r="D329" s="28">
        <f>YEAR(TableauFlitrage[[#This Row],[Date_d_adjudication]])</f>
        <v>2017</v>
      </c>
      <c r="E329" s="28">
        <f t="shared" si="5"/>
        <v>7</v>
      </c>
      <c r="F329" s="15">
        <v>42928</v>
      </c>
      <c r="G329" s="28">
        <v>99.203749999999999</v>
      </c>
      <c r="H329" s="15">
        <v>43021</v>
      </c>
      <c r="I329">
        <v>170</v>
      </c>
      <c r="J329">
        <v>5000</v>
      </c>
      <c r="K329" s="28">
        <v>3.15</v>
      </c>
    </row>
    <row r="330" spans="1:11" ht="15" customHeight="1" x14ac:dyDescent="0.2">
      <c r="A330" s="28" t="s">
        <v>11</v>
      </c>
      <c r="B330" s="2" t="s">
        <v>29</v>
      </c>
      <c r="C330" s="30">
        <v>0.5</v>
      </c>
      <c r="D330" s="28">
        <f>YEAR(TableauFlitrage[[#This Row],[Date_d_adjudication]])</f>
        <v>2017</v>
      </c>
      <c r="E330" s="28">
        <f t="shared" si="5"/>
        <v>7</v>
      </c>
      <c r="F330" s="15">
        <v>42928</v>
      </c>
      <c r="G330" s="28">
        <v>97.598611111111111</v>
      </c>
      <c r="H330" s="15">
        <v>43112</v>
      </c>
      <c r="I330">
        <v>100</v>
      </c>
      <c r="J330">
        <v>25000</v>
      </c>
      <c r="K330" s="28">
        <v>4.75</v>
      </c>
    </row>
    <row r="331" spans="1:11" ht="15" customHeight="1" x14ac:dyDescent="0.2">
      <c r="A331" s="28" t="s">
        <v>11</v>
      </c>
      <c r="B331" s="2" t="s">
        <v>29</v>
      </c>
      <c r="C331" s="30">
        <v>0.5</v>
      </c>
      <c r="D331" s="28">
        <f>YEAR(TableauFlitrage[[#This Row],[Date_d_adjudication]])</f>
        <v>2017</v>
      </c>
      <c r="E331" s="28">
        <f t="shared" si="5"/>
        <v>7</v>
      </c>
      <c r="F331" s="15">
        <v>42935</v>
      </c>
      <c r="G331" s="28">
        <v>97.163833333333329</v>
      </c>
      <c r="H331" s="15">
        <v>43119</v>
      </c>
      <c r="I331">
        <v>90.2</v>
      </c>
      <c r="J331">
        <v>25500</v>
      </c>
      <c r="K331" s="28">
        <v>5.61</v>
      </c>
    </row>
    <row r="332" spans="1:11" ht="15" customHeight="1" x14ac:dyDescent="0.2">
      <c r="A332" s="28" t="s">
        <v>9</v>
      </c>
      <c r="B332" s="2" t="s">
        <v>29</v>
      </c>
      <c r="C332" s="30">
        <v>0.5</v>
      </c>
      <c r="D332" s="28">
        <f>YEAR(TableauFlitrage[[#This Row],[Date_d_adjudication]])</f>
        <v>2017</v>
      </c>
      <c r="E332" s="28">
        <f t="shared" si="5"/>
        <v>7</v>
      </c>
      <c r="F332" s="15">
        <v>42935</v>
      </c>
      <c r="G332" s="28">
        <v>97.012166666666673</v>
      </c>
      <c r="H332" s="15">
        <v>43119</v>
      </c>
      <c r="I332">
        <v>85</v>
      </c>
      <c r="J332">
        <v>10000</v>
      </c>
      <c r="K332" s="28">
        <v>5.91</v>
      </c>
    </row>
    <row r="333" spans="1:11" ht="15" customHeight="1" x14ac:dyDescent="0.2">
      <c r="A333" s="28" t="s">
        <v>9</v>
      </c>
      <c r="B333" s="2" t="s">
        <v>29</v>
      </c>
      <c r="C333" s="30">
        <v>0.5</v>
      </c>
      <c r="D333" s="28">
        <f>YEAR(TableauFlitrage[[#This Row],[Date_d_adjudication]])</f>
        <v>2017</v>
      </c>
      <c r="E333" s="28">
        <f t="shared" si="5"/>
        <v>7</v>
      </c>
      <c r="F333" s="15">
        <v>42942</v>
      </c>
      <c r="G333" s="28">
        <v>97.123388888888883</v>
      </c>
      <c r="H333" s="15">
        <v>43126</v>
      </c>
      <c r="I333">
        <v>107</v>
      </c>
      <c r="J333">
        <v>10000</v>
      </c>
      <c r="K333" s="28">
        <v>5.69</v>
      </c>
    </row>
    <row r="334" spans="1:11" ht="15" customHeight="1" x14ac:dyDescent="0.2">
      <c r="A334" s="28" t="s">
        <v>7</v>
      </c>
      <c r="B334" s="2" t="s">
        <v>29</v>
      </c>
      <c r="C334" s="30">
        <v>0.5</v>
      </c>
      <c r="D334" s="28">
        <f>YEAR(TableauFlitrage[[#This Row],[Date_d_adjudication]])</f>
        <v>2017</v>
      </c>
      <c r="E334" s="28">
        <f t="shared" si="5"/>
        <v>7</v>
      </c>
      <c r="F334" s="15">
        <v>42942</v>
      </c>
      <c r="G334" s="28">
        <v>98.230555555555554</v>
      </c>
      <c r="H334" s="15">
        <v>43126</v>
      </c>
      <c r="I334">
        <v>211.50000000000003</v>
      </c>
      <c r="J334">
        <v>5000</v>
      </c>
      <c r="K334" s="28">
        <v>3.5</v>
      </c>
    </row>
    <row r="335" spans="1:11" ht="15" customHeight="1" x14ac:dyDescent="0.2">
      <c r="A335" s="28" t="s">
        <v>11</v>
      </c>
      <c r="B335" s="2" t="s">
        <v>29</v>
      </c>
      <c r="C335" s="30">
        <v>1</v>
      </c>
      <c r="D335" s="28">
        <f>YEAR(TableauFlitrage[[#This Row],[Date_d_adjudication]])</f>
        <v>2017</v>
      </c>
      <c r="E335" s="28">
        <f t="shared" si="5"/>
        <v>8</v>
      </c>
      <c r="F335" s="15">
        <v>42949</v>
      </c>
      <c r="G335" s="28">
        <v>96.208333333333329</v>
      </c>
      <c r="H335" s="15">
        <v>43315</v>
      </c>
      <c r="I335">
        <v>83.87</v>
      </c>
      <c r="J335">
        <v>15500</v>
      </c>
      <c r="K335" s="28">
        <v>3.75</v>
      </c>
    </row>
    <row r="336" spans="1:11" ht="15" customHeight="1" x14ac:dyDescent="0.2">
      <c r="A336" s="28" t="s">
        <v>9</v>
      </c>
      <c r="B336" s="2" t="s">
        <v>29</v>
      </c>
      <c r="C336" s="30">
        <v>0.25</v>
      </c>
      <c r="D336" s="28">
        <f>YEAR(TableauFlitrage[[#This Row],[Date_d_adjudication]])</f>
        <v>2017</v>
      </c>
      <c r="E336" s="28">
        <f t="shared" si="5"/>
        <v>8</v>
      </c>
      <c r="F336" s="15">
        <v>42949</v>
      </c>
      <c r="G336" s="28">
        <v>98.609722222222217</v>
      </c>
      <c r="H336" s="15">
        <v>43042</v>
      </c>
      <c r="I336">
        <v>140.79</v>
      </c>
      <c r="J336">
        <v>7000</v>
      </c>
      <c r="K336" s="28">
        <v>5.5</v>
      </c>
    </row>
    <row r="337" spans="1:11" ht="15" customHeight="1" x14ac:dyDescent="0.2">
      <c r="A337" s="28" t="s">
        <v>9</v>
      </c>
      <c r="B337" s="2" t="s">
        <v>29</v>
      </c>
      <c r="C337" s="30">
        <v>0.5</v>
      </c>
      <c r="D337" s="28">
        <f>YEAR(TableauFlitrage[[#This Row],[Date_d_adjudication]])</f>
        <v>2017</v>
      </c>
      <c r="E337" s="28">
        <f t="shared" si="5"/>
        <v>8</v>
      </c>
      <c r="F337" s="15">
        <v>42956</v>
      </c>
      <c r="G337" s="28">
        <v>97.06272222222222</v>
      </c>
      <c r="H337" s="15">
        <v>43140</v>
      </c>
      <c r="I337">
        <v>94.25</v>
      </c>
      <c r="J337">
        <v>6000</v>
      </c>
      <c r="K337" s="28">
        <v>5.81</v>
      </c>
    </row>
    <row r="338" spans="1:11" ht="15" customHeight="1" x14ac:dyDescent="0.2">
      <c r="A338" s="28" t="s">
        <v>7</v>
      </c>
      <c r="B338" s="2" t="s">
        <v>29</v>
      </c>
      <c r="C338" s="30">
        <v>0.5</v>
      </c>
      <c r="D338" s="28">
        <f>YEAR(TableauFlitrage[[#This Row],[Date_d_adjudication]])</f>
        <v>2017</v>
      </c>
      <c r="E338" s="28">
        <f t="shared" si="5"/>
        <v>8</v>
      </c>
      <c r="F338" s="15">
        <v>42956</v>
      </c>
      <c r="G338" s="28">
        <v>98.30638888888889</v>
      </c>
      <c r="H338" s="15">
        <v>43140</v>
      </c>
      <c r="I338">
        <v>211.50000000000003</v>
      </c>
      <c r="J338">
        <v>5000</v>
      </c>
      <c r="K338" s="28">
        <v>3.35</v>
      </c>
    </row>
    <row r="339" spans="1:11" ht="15" customHeight="1" x14ac:dyDescent="0.2">
      <c r="A339" s="28" t="s">
        <v>10</v>
      </c>
      <c r="B339" s="2" t="s">
        <v>29</v>
      </c>
      <c r="C339" s="30">
        <v>1</v>
      </c>
      <c r="D339" s="28">
        <f>YEAR(TableauFlitrage[[#This Row],[Date_d_adjudication]])</f>
        <v>2017</v>
      </c>
      <c r="E339" s="28">
        <f t="shared" si="5"/>
        <v>8</v>
      </c>
      <c r="F339" s="15">
        <v>42956</v>
      </c>
      <c r="G339" s="28">
        <v>92.416666666666671</v>
      </c>
      <c r="H339" s="15">
        <v>43322</v>
      </c>
      <c r="I339">
        <v>66.67</v>
      </c>
      <c r="J339">
        <v>15000</v>
      </c>
      <c r="K339" s="28">
        <v>7.5</v>
      </c>
    </row>
    <row r="340" spans="1:11" ht="15" customHeight="1" x14ac:dyDescent="0.2">
      <c r="A340" s="28" t="s">
        <v>8</v>
      </c>
      <c r="B340" s="2" t="s">
        <v>29</v>
      </c>
      <c r="C340" s="30">
        <v>0.25</v>
      </c>
      <c r="D340" s="28">
        <f>YEAR(TableauFlitrage[[#This Row],[Date_d_adjudication]])</f>
        <v>2017</v>
      </c>
      <c r="E340" s="28">
        <f t="shared" si="5"/>
        <v>8</v>
      </c>
      <c r="F340" s="15">
        <v>42956</v>
      </c>
      <c r="G340" s="28">
        <v>98.905472222222215</v>
      </c>
      <c r="H340" s="15">
        <v>43049</v>
      </c>
      <c r="I340">
        <v>25</v>
      </c>
      <c r="J340">
        <v>8000</v>
      </c>
      <c r="K340" s="28">
        <v>4.33</v>
      </c>
    </row>
    <row r="341" spans="1:11" ht="15" customHeight="1" x14ac:dyDescent="0.2">
      <c r="A341" s="28" t="s">
        <v>9</v>
      </c>
      <c r="B341" s="2" t="s">
        <v>29</v>
      </c>
      <c r="C341" s="30">
        <v>0.5</v>
      </c>
      <c r="D341" s="28">
        <f>YEAR(TableauFlitrage[[#This Row],[Date_d_adjudication]])</f>
        <v>2017</v>
      </c>
      <c r="E341" s="28">
        <f t="shared" si="5"/>
        <v>8</v>
      </c>
      <c r="F341" s="15">
        <v>42963</v>
      </c>
      <c r="G341" s="28">
        <v>97.280111111111111</v>
      </c>
      <c r="H341" s="15">
        <v>43147</v>
      </c>
      <c r="I341">
        <v>73.400000000000006</v>
      </c>
      <c r="J341">
        <v>10000</v>
      </c>
      <c r="K341" s="28">
        <v>5.38</v>
      </c>
    </row>
    <row r="342" spans="1:11" ht="15" customHeight="1" x14ac:dyDescent="0.2">
      <c r="A342" s="28" t="s">
        <v>7</v>
      </c>
      <c r="B342" s="2" t="s">
        <v>29</v>
      </c>
      <c r="C342" s="30">
        <v>1</v>
      </c>
      <c r="D342" s="28">
        <f>YEAR(TableauFlitrage[[#This Row],[Date_d_adjudication]])</f>
        <v>2017</v>
      </c>
      <c r="E342" s="28">
        <f t="shared" si="5"/>
        <v>8</v>
      </c>
      <c r="F342" s="15">
        <v>42970</v>
      </c>
      <c r="G342" s="28">
        <v>96.218444444444444</v>
      </c>
      <c r="H342" s="15">
        <v>43336</v>
      </c>
      <c r="I342">
        <v>129.84</v>
      </c>
      <c r="J342">
        <v>5000</v>
      </c>
      <c r="K342" s="28">
        <v>3.74</v>
      </c>
    </row>
    <row r="343" spans="1:11" ht="15" customHeight="1" x14ac:dyDescent="0.2">
      <c r="A343" s="28" t="s">
        <v>9</v>
      </c>
      <c r="B343" s="2" t="s">
        <v>29</v>
      </c>
      <c r="C343" s="30">
        <v>0.25</v>
      </c>
      <c r="D343" s="28">
        <f>YEAR(TableauFlitrage[[#This Row],[Date_d_adjudication]])</f>
        <v>2017</v>
      </c>
      <c r="E343" s="28">
        <f t="shared" si="5"/>
        <v>8</v>
      </c>
      <c r="F343" s="15">
        <v>42970</v>
      </c>
      <c r="G343" s="28">
        <v>98.705777777777783</v>
      </c>
      <c r="H343" s="15">
        <v>43063</v>
      </c>
      <c r="I343">
        <v>156.75</v>
      </c>
      <c r="J343">
        <v>10000</v>
      </c>
      <c r="K343" s="28">
        <v>5.12</v>
      </c>
    </row>
    <row r="344" spans="1:11" ht="15" customHeight="1" x14ac:dyDescent="0.2">
      <c r="A344" s="28" t="s">
        <v>11</v>
      </c>
      <c r="B344" s="2" t="s">
        <v>29</v>
      </c>
      <c r="C344" s="30">
        <v>1</v>
      </c>
      <c r="D344" s="28">
        <f>YEAR(TableauFlitrage[[#This Row],[Date_d_adjudication]])</f>
        <v>2017</v>
      </c>
      <c r="E344" s="28">
        <f t="shared" si="5"/>
        <v>8</v>
      </c>
      <c r="F344" s="15">
        <v>42970</v>
      </c>
      <c r="G344" s="28">
        <v>94.206333333333333</v>
      </c>
      <c r="H344" s="15">
        <v>43336</v>
      </c>
      <c r="I344">
        <v>96.77</v>
      </c>
      <c r="J344">
        <v>15500</v>
      </c>
      <c r="K344" s="28">
        <v>5.73</v>
      </c>
    </row>
    <row r="345" spans="1:11" ht="15" customHeight="1" x14ac:dyDescent="0.2">
      <c r="A345" s="28" t="s">
        <v>9</v>
      </c>
      <c r="B345" s="2" t="s">
        <v>29</v>
      </c>
      <c r="C345" s="30">
        <v>0.5</v>
      </c>
      <c r="D345" s="28">
        <f>YEAR(TableauFlitrage[[#This Row],[Date_d_adjudication]])</f>
        <v>2017</v>
      </c>
      <c r="E345" s="28">
        <f t="shared" si="5"/>
        <v>8</v>
      </c>
      <c r="F345" s="15">
        <v>42977</v>
      </c>
      <c r="G345" s="28">
        <v>97.219444444444449</v>
      </c>
      <c r="H345" s="15">
        <v>43161</v>
      </c>
      <c r="I345">
        <v>138.47</v>
      </c>
      <c r="J345">
        <v>8500</v>
      </c>
      <c r="K345" s="28">
        <v>5.5</v>
      </c>
    </row>
    <row r="346" spans="1:11" ht="15" customHeight="1" x14ac:dyDescent="0.2">
      <c r="A346" s="28" t="s">
        <v>11</v>
      </c>
      <c r="B346" s="2" t="s">
        <v>29</v>
      </c>
      <c r="C346" s="30">
        <v>1</v>
      </c>
      <c r="D346" s="28">
        <f>YEAR(TableauFlitrage[[#This Row],[Date_d_adjudication]])</f>
        <v>2017</v>
      </c>
      <c r="E346" s="28">
        <f t="shared" si="5"/>
        <v>8</v>
      </c>
      <c r="F346" s="15">
        <v>42977</v>
      </c>
      <c r="G346" s="28">
        <v>93.650222222222226</v>
      </c>
      <c r="H346" s="15">
        <v>43343</v>
      </c>
      <c r="I346">
        <v>92.97999999999999</v>
      </c>
      <c r="J346">
        <v>28500</v>
      </c>
      <c r="K346" s="28">
        <v>6.28</v>
      </c>
    </row>
    <row r="347" spans="1:11" ht="15" customHeight="1" x14ac:dyDescent="0.2">
      <c r="A347" s="28" t="s">
        <v>11</v>
      </c>
      <c r="B347" s="2" t="s">
        <v>29</v>
      </c>
      <c r="C347" s="30">
        <v>0.5</v>
      </c>
      <c r="D347" s="28">
        <f>YEAR(TableauFlitrage[[#This Row],[Date_d_adjudication]])</f>
        <v>2017</v>
      </c>
      <c r="E347" s="28">
        <f t="shared" si="5"/>
        <v>8</v>
      </c>
      <c r="F347" s="15">
        <v>42977</v>
      </c>
      <c r="G347" s="28">
        <v>97.785666666666671</v>
      </c>
      <c r="H347" s="15">
        <v>43161</v>
      </c>
      <c r="I347">
        <v>70</v>
      </c>
      <c r="J347">
        <v>1200</v>
      </c>
      <c r="K347" s="28">
        <v>4.38</v>
      </c>
    </row>
    <row r="348" spans="1:11" ht="15" customHeight="1" x14ac:dyDescent="0.2">
      <c r="A348" s="28" t="s">
        <v>7</v>
      </c>
      <c r="B348" s="2" t="s">
        <v>29</v>
      </c>
      <c r="C348" s="30">
        <v>0.25</v>
      </c>
      <c r="D348" s="28">
        <f>YEAR(TableauFlitrage[[#This Row],[Date_d_adjudication]])</f>
        <v>2017</v>
      </c>
      <c r="E348" s="28">
        <f t="shared" si="5"/>
        <v>9</v>
      </c>
      <c r="F348" s="15">
        <v>42984</v>
      </c>
      <c r="G348" s="28">
        <v>99.188583333333327</v>
      </c>
      <c r="H348" s="15">
        <v>43077</v>
      </c>
      <c r="I348">
        <v>385</v>
      </c>
      <c r="J348">
        <v>5000</v>
      </c>
      <c r="K348" s="28">
        <v>3.21</v>
      </c>
    </row>
    <row r="349" spans="1:11" ht="15" customHeight="1" x14ac:dyDescent="0.2">
      <c r="A349" s="28" t="s">
        <v>11</v>
      </c>
      <c r="B349" s="2" t="s">
        <v>29</v>
      </c>
      <c r="C349" s="30">
        <v>1</v>
      </c>
      <c r="D349" s="28">
        <f>YEAR(TableauFlitrage[[#This Row],[Date_d_adjudication]])</f>
        <v>2017</v>
      </c>
      <c r="E349" s="28">
        <f t="shared" si="5"/>
        <v>9</v>
      </c>
      <c r="F349" s="15">
        <v>42984</v>
      </c>
      <c r="G349" s="28">
        <v>93.427777777777777</v>
      </c>
      <c r="H349" s="15">
        <v>43350</v>
      </c>
      <c r="I349">
        <v>100</v>
      </c>
      <c r="J349">
        <v>15000</v>
      </c>
      <c r="K349" s="28">
        <v>6.5</v>
      </c>
    </row>
    <row r="350" spans="1:11" ht="15" customHeight="1" x14ac:dyDescent="0.2">
      <c r="A350" s="28" t="s">
        <v>9</v>
      </c>
      <c r="B350" s="2" t="s">
        <v>29</v>
      </c>
      <c r="C350" s="30">
        <v>0.25</v>
      </c>
      <c r="D350" s="28">
        <f>YEAR(TableauFlitrage[[#This Row],[Date_d_adjudication]])</f>
        <v>2017</v>
      </c>
      <c r="E350" s="28">
        <f t="shared" si="5"/>
        <v>9</v>
      </c>
      <c r="F350" s="15">
        <v>42984</v>
      </c>
      <c r="G350" s="28">
        <v>98.675444444444437</v>
      </c>
      <c r="H350" s="15">
        <v>43077</v>
      </c>
      <c r="I350">
        <v>187.5</v>
      </c>
      <c r="J350">
        <v>9000</v>
      </c>
      <c r="K350" s="28">
        <v>5.24</v>
      </c>
    </row>
    <row r="351" spans="1:11" ht="15" customHeight="1" x14ac:dyDescent="0.2">
      <c r="A351" s="28" t="s">
        <v>9</v>
      </c>
      <c r="B351" s="2" t="s">
        <v>29</v>
      </c>
      <c r="C351" s="30">
        <v>0.5</v>
      </c>
      <c r="D351" s="28">
        <f>YEAR(TableauFlitrage[[#This Row],[Date_d_adjudication]])</f>
        <v>2017</v>
      </c>
      <c r="E351" s="28">
        <f t="shared" si="5"/>
        <v>9</v>
      </c>
      <c r="F351" s="15">
        <v>42991</v>
      </c>
      <c r="G351" s="28">
        <v>97.371111111111105</v>
      </c>
      <c r="H351" s="15">
        <v>43175</v>
      </c>
      <c r="I351">
        <v>170</v>
      </c>
      <c r="J351">
        <v>17000</v>
      </c>
      <c r="K351" s="28">
        <v>5.2</v>
      </c>
    </row>
    <row r="352" spans="1:11" ht="15" customHeight="1" x14ac:dyDescent="0.2">
      <c r="A352" s="28" t="s">
        <v>7</v>
      </c>
      <c r="B352" s="2" t="s">
        <v>29</v>
      </c>
      <c r="C352" s="30">
        <v>1</v>
      </c>
      <c r="D352" s="28">
        <f>YEAR(TableauFlitrage[[#This Row],[Date_d_adjudication]])</f>
        <v>2017</v>
      </c>
      <c r="E352" s="28">
        <f t="shared" si="5"/>
        <v>9</v>
      </c>
      <c r="F352" s="15">
        <v>42991</v>
      </c>
      <c r="G352" s="28">
        <v>96.198222222222228</v>
      </c>
      <c r="H352" s="15">
        <v>43357</v>
      </c>
      <c r="I352">
        <v>110.00000000000001</v>
      </c>
      <c r="J352">
        <v>5500</v>
      </c>
      <c r="K352" s="28">
        <v>3.76</v>
      </c>
    </row>
    <row r="353" spans="1:12" ht="15" customHeight="1" x14ac:dyDescent="0.2">
      <c r="A353" s="28" t="s">
        <v>7</v>
      </c>
      <c r="B353" s="2" t="s">
        <v>29</v>
      </c>
      <c r="C353" s="30">
        <v>0.5</v>
      </c>
      <c r="D353" s="28">
        <f>YEAR(TableauFlitrage[[#This Row],[Date_d_adjudication]])</f>
        <v>2017</v>
      </c>
      <c r="E353" s="28">
        <f t="shared" si="5"/>
        <v>9</v>
      </c>
      <c r="F353" s="15">
        <v>42998</v>
      </c>
      <c r="G353" s="28">
        <v>98.30638888888889</v>
      </c>
      <c r="H353" s="15">
        <v>43182</v>
      </c>
      <c r="I353">
        <v>231.5</v>
      </c>
      <c r="J353">
        <v>5000</v>
      </c>
      <c r="K353" s="28">
        <v>3.35</v>
      </c>
    </row>
    <row r="354" spans="1:12" ht="15" customHeight="1" x14ac:dyDescent="0.2">
      <c r="A354" s="28" t="s">
        <v>10</v>
      </c>
      <c r="B354" s="2" t="s">
        <v>29</v>
      </c>
      <c r="C354" s="30">
        <v>1</v>
      </c>
      <c r="D354" s="28">
        <f>YEAR(TableauFlitrage[[#This Row],[Date_d_adjudication]])</f>
        <v>2017</v>
      </c>
      <c r="E354" s="28">
        <f t="shared" si="5"/>
        <v>9</v>
      </c>
      <c r="F354" s="15">
        <v>42998</v>
      </c>
      <c r="G354" s="28">
        <v>93.316555555555553</v>
      </c>
      <c r="H354" s="15">
        <v>43364</v>
      </c>
      <c r="I354">
        <v>130</v>
      </c>
      <c r="J354">
        <v>15000</v>
      </c>
      <c r="K354" s="28">
        <v>6.61</v>
      </c>
    </row>
    <row r="355" spans="1:12" ht="15" customHeight="1" x14ac:dyDescent="0.2">
      <c r="A355" s="28" t="s">
        <v>9</v>
      </c>
      <c r="B355" s="2" t="s">
        <v>29</v>
      </c>
      <c r="C355" s="30">
        <v>0.5</v>
      </c>
      <c r="D355" s="28">
        <f>YEAR(TableauFlitrage[[#This Row],[Date_d_adjudication]])</f>
        <v>2017</v>
      </c>
      <c r="E355" s="28">
        <f t="shared" si="5"/>
        <v>9</v>
      </c>
      <c r="F355" s="15">
        <v>42998</v>
      </c>
      <c r="G355" s="28">
        <v>97.391333333333336</v>
      </c>
      <c r="H355" s="15">
        <v>43182</v>
      </c>
      <c r="I355">
        <v>195.01</v>
      </c>
      <c r="J355">
        <v>10000</v>
      </c>
      <c r="K355" s="28">
        <v>5.16</v>
      </c>
    </row>
    <row r="356" spans="1:12" ht="15" customHeight="1" x14ac:dyDescent="0.2">
      <c r="A356" s="28" t="s">
        <v>8</v>
      </c>
      <c r="B356" s="2" t="s">
        <v>29</v>
      </c>
      <c r="C356" s="30">
        <v>0.25</v>
      </c>
      <c r="D356" s="28">
        <f>YEAR(TableauFlitrage[[#This Row],[Date_d_adjudication]])</f>
        <v>2017</v>
      </c>
      <c r="E356" s="28">
        <f t="shared" si="5"/>
        <v>9</v>
      </c>
      <c r="F356" s="15">
        <v>42998</v>
      </c>
      <c r="G356" s="28">
        <v>98.725999999999999</v>
      </c>
      <c r="H356" s="15">
        <v>43091</v>
      </c>
      <c r="I356">
        <v>50</v>
      </c>
      <c r="J356">
        <v>6000</v>
      </c>
      <c r="K356" s="28">
        <v>5.04</v>
      </c>
    </row>
    <row r="357" spans="1:12" ht="15" customHeight="1" x14ac:dyDescent="0.2">
      <c r="A357" s="28" t="s">
        <v>9</v>
      </c>
      <c r="B357" t="s">
        <v>30</v>
      </c>
      <c r="C357" s="30" t="s">
        <v>53</v>
      </c>
      <c r="D357" s="28">
        <f>YEAR(TableauFlitrage[[#This Row],[Date_d_adjudication]])</f>
        <v>2017</v>
      </c>
      <c r="E357" s="28">
        <f t="shared" si="5"/>
        <v>9</v>
      </c>
      <c r="F357" s="15">
        <v>42998</v>
      </c>
      <c r="G357" s="28">
        <v>99.38</v>
      </c>
      <c r="H357" s="15">
        <v>43731</v>
      </c>
      <c r="I357">
        <v>20</v>
      </c>
      <c r="J357">
        <v>8000</v>
      </c>
      <c r="K357" s="28">
        <v>4.5</v>
      </c>
      <c r="L357">
        <v>4.5290295885351002</v>
      </c>
    </row>
    <row r="358" spans="1:12" ht="15" customHeight="1" x14ac:dyDescent="0.2">
      <c r="A358" s="28" t="s">
        <v>9</v>
      </c>
      <c r="B358" s="2" t="s">
        <v>29</v>
      </c>
      <c r="C358" s="30">
        <v>0.5</v>
      </c>
      <c r="D358" s="28">
        <f>YEAR(TableauFlitrage[[#This Row],[Date_d_adjudication]])</f>
        <v>2017</v>
      </c>
      <c r="E358" s="28">
        <f t="shared" si="5"/>
        <v>9</v>
      </c>
      <c r="F358" s="15">
        <v>43005</v>
      </c>
      <c r="G358" s="28">
        <v>97.497500000000002</v>
      </c>
      <c r="H358" s="15">
        <v>43189</v>
      </c>
      <c r="I358">
        <v>258.8</v>
      </c>
      <c r="J358">
        <v>5000</v>
      </c>
      <c r="K358" s="28">
        <v>4.95</v>
      </c>
    </row>
    <row r="359" spans="1:12" ht="15" customHeight="1" x14ac:dyDescent="0.2">
      <c r="A359" s="28" t="s">
        <v>9</v>
      </c>
      <c r="B359" s="2" t="s">
        <v>29</v>
      </c>
      <c r="C359" s="30">
        <v>0.5</v>
      </c>
      <c r="D359" s="28">
        <f>YEAR(TableauFlitrage[[#This Row],[Date_d_adjudication]])</f>
        <v>2017</v>
      </c>
      <c r="E359" s="28">
        <f t="shared" si="5"/>
        <v>10</v>
      </c>
      <c r="F359" s="15">
        <v>43012</v>
      </c>
      <c r="G359" s="28">
        <v>97.492444444444445</v>
      </c>
      <c r="H359" s="15">
        <v>43196</v>
      </c>
      <c r="I359">
        <v>218.00000000000003</v>
      </c>
      <c r="J359">
        <v>10000</v>
      </c>
      <c r="K359" s="28">
        <v>4.96</v>
      </c>
    </row>
    <row r="360" spans="1:12" ht="15" customHeight="1" x14ac:dyDescent="0.2">
      <c r="A360" s="28" t="s">
        <v>8</v>
      </c>
      <c r="B360" s="2" t="s">
        <v>29</v>
      </c>
      <c r="C360" s="30">
        <v>0.25</v>
      </c>
      <c r="D360" s="28">
        <f>YEAR(TableauFlitrage[[#This Row],[Date_d_adjudication]])</f>
        <v>2017</v>
      </c>
      <c r="E360" s="28">
        <f t="shared" si="5"/>
        <v>10</v>
      </c>
      <c r="F360" s="15">
        <v>43012</v>
      </c>
      <c r="G360" s="28">
        <v>98.609722222222217</v>
      </c>
      <c r="H360" s="15">
        <v>43105</v>
      </c>
      <c r="I360">
        <v>62.5</v>
      </c>
      <c r="J360">
        <v>8000</v>
      </c>
      <c r="K360" s="28">
        <v>5.5</v>
      </c>
    </row>
    <row r="361" spans="1:12" ht="15" customHeight="1" x14ac:dyDescent="0.2">
      <c r="A361" s="28" t="s">
        <v>9</v>
      </c>
      <c r="B361" s="2" t="s">
        <v>29</v>
      </c>
      <c r="C361" s="30">
        <v>0.25</v>
      </c>
      <c r="D361" s="28">
        <f>YEAR(TableauFlitrage[[#This Row],[Date_d_adjudication]])</f>
        <v>2017</v>
      </c>
      <c r="E361" s="28">
        <f t="shared" si="5"/>
        <v>10</v>
      </c>
      <c r="F361" s="15">
        <v>43019</v>
      </c>
      <c r="G361" s="28">
        <v>98.781611111111104</v>
      </c>
      <c r="H361" s="15">
        <v>43112</v>
      </c>
      <c r="I361">
        <v>195</v>
      </c>
      <c r="J361">
        <v>6500</v>
      </c>
      <c r="K361" s="28">
        <v>4.82</v>
      </c>
    </row>
    <row r="362" spans="1:12" ht="15" customHeight="1" x14ac:dyDescent="0.2">
      <c r="A362" s="28" t="s">
        <v>7</v>
      </c>
      <c r="B362" s="2" t="s">
        <v>29</v>
      </c>
      <c r="C362" s="30">
        <v>1</v>
      </c>
      <c r="D362" s="28">
        <f>YEAR(TableauFlitrage[[#This Row],[Date_d_adjudication]])</f>
        <v>2017</v>
      </c>
      <c r="E362" s="28">
        <f t="shared" si="5"/>
        <v>10</v>
      </c>
      <c r="F362" s="15">
        <v>43019</v>
      </c>
      <c r="G362" s="28">
        <v>96.208333333333329</v>
      </c>
      <c r="H362" s="15">
        <v>43385</v>
      </c>
      <c r="I362">
        <v>100</v>
      </c>
      <c r="J362">
        <v>5000</v>
      </c>
      <c r="K362" s="28">
        <v>3.75</v>
      </c>
    </row>
    <row r="363" spans="1:12" ht="15" customHeight="1" x14ac:dyDescent="0.2">
      <c r="A363" s="28" t="s">
        <v>11</v>
      </c>
      <c r="B363" s="2" t="s">
        <v>29</v>
      </c>
      <c r="C363" s="30">
        <v>1</v>
      </c>
      <c r="D363" s="28">
        <f>YEAR(TableauFlitrage[[#This Row],[Date_d_adjudication]])</f>
        <v>2017</v>
      </c>
      <c r="E363" s="28">
        <f t="shared" si="5"/>
        <v>10</v>
      </c>
      <c r="F363" s="15">
        <v>43026</v>
      </c>
      <c r="G363" s="28">
        <v>93.963666666666668</v>
      </c>
      <c r="H363" s="15">
        <v>43392</v>
      </c>
      <c r="I363">
        <v>104.67</v>
      </c>
      <c r="J363">
        <v>7500</v>
      </c>
      <c r="K363" s="28">
        <v>5.97</v>
      </c>
    </row>
    <row r="364" spans="1:12" ht="15" customHeight="1" x14ac:dyDescent="0.2">
      <c r="A364" s="28" t="s">
        <v>8</v>
      </c>
      <c r="B364" s="2" t="s">
        <v>29</v>
      </c>
      <c r="C364" s="30">
        <v>0.25</v>
      </c>
      <c r="D364" s="28">
        <f>YEAR(TableauFlitrage[[#This Row],[Date_d_adjudication]])</f>
        <v>2017</v>
      </c>
      <c r="E364" s="28">
        <f t="shared" si="5"/>
        <v>10</v>
      </c>
      <c r="F364" s="15">
        <v>43026</v>
      </c>
      <c r="G364" s="28">
        <v>98.698194444444439</v>
      </c>
      <c r="H364" s="15">
        <v>43119</v>
      </c>
      <c r="I364">
        <v>22</v>
      </c>
      <c r="K364" s="28">
        <v>5.15</v>
      </c>
    </row>
    <row r="365" spans="1:12" ht="15" customHeight="1" x14ac:dyDescent="0.2">
      <c r="A365" s="28" t="s">
        <v>9</v>
      </c>
      <c r="B365" s="2" t="s">
        <v>29</v>
      </c>
      <c r="C365" s="30">
        <v>0.5</v>
      </c>
      <c r="D365" s="28">
        <f>YEAR(TableauFlitrage[[#This Row],[Date_d_adjudication]])</f>
        <v>2017</v>
      </c>
      <c r="E365" s="28">
        <f t="shared" si="5"/>
        <v>10</v>
      </c>
      <c r="F365" s="15">
        <v>43026</v>
      </c>
      <c r="G365" s="28">
        <v>97.573333333333338</v>
      </c>
      <c r="H365" s="15">
        <v>43210</v>
      </c>
      <c r="I365">
        <v>119.31</v>
      </c>
      <c r="J365">
        <v>8000</v>
      </c>
      <c r="K365" s="28">
        <v>4.8</v>
      </c>
    </row>
    <row r="366" spans="1:12" ht="15" customHeight="1" x14ac:dyDescent="0.2">
      <c r="A366" s="28" t="s">
        <v>9</v>
      </c>
      <c r="B366" s="2" t="s">
        <v>29</v>
      </c>
      <c r="C366" s="30">
        <v>0.5</v>
      </c>
      <c r="D366" s="28">
        <f>YEAR(TableauFlitrage[[#This Row],[Date_d_adjudication]])</f>
        <v>2017</v>
      </c>
      <c r="E366" s="28">
        <f t="shared" si="5"/>
        <v>10</v>
      </c>
      <c r="F366" s="15">
        <v>43033</v>
      </c>
      <c r="G366" s="28">
        <v>97.366055555555562</v>
      </c>
      <c r="H366" s="15">
        <v>43217</v>
      </c>
      <c r="I366">
        <v>134.57</v>
      </c>
      <c r="J366">
        <v>7000</v>
      </c>
      <c r="K366" s="28">
        <v>5.21</v>
      </c>
    </row>
    <row r="367" spans="1:12" ht="15" customHeight="1" x14ac:dyDescent="0.2">
      <c r="A367" s="28" t="s">
        <v>7</v>
      </c>
      <c r="B367" s="2" t="s">
        <v>29</v>
      </c>
      <c r="C367" s="30">
        <v>0.5</v>
      </c>
      <c r="D367" s="28">
        <f>YEAR(TableauFlitrage[[#This Row],[Date_d_adjudication]])</f>
        <v>2017</v>
      </c>
      <c r="E367" s="28">
        <f t="shared" si="5"/>
        <v>10</v>
      </c>
      <c r="F367" s="15">
        <v>43033</v>
      </c>
      <c r="G367" s="28">
        <v>98.291222222222217</v>
      </c>
      <c r="H367" s="15">
        <v>43217</v>
      </c>
      <c r="I367">
        <v>184</v>
      </c>
      <c r="J367">
        <v>5000</v>
      </c>
      <c r="K367" s="28">
        <v>3.38</v>
      </c>
    </row>
    <row r="368" spans="1:12" ht="15" customHeight="1" x14ac:dyDescent="0.2">
      <c r="A368" s="28" t="s">
        <v>10</v>
      </c>
      <c r="B368" s="2" t="s">
        <v>29</v>
      </c>
      <c r="C368" s="30">
        <v>1</v>
      </c>
      <c r="D368" s="28">
        <f>YEAR(TableauFlitrage[[#This Row],[Date_d_adjudication]])</f>
        <v>2017</v>
      </c>
      <c r="E368" s="28">
        <f t="shared" si="5"/>
        <v>10</v>
      </c>
      <c r="F368" s="15">
        <v>43033</v>
      </c>
      <c r="G368" s="28">
        <v>91.173000000000002</v>
      </c>
      <c r="H368" s="15">
        <v>43399</v>
      </c>
      <c r="I368">
        <v>36.67</v>
      </c>
      <c r="J368">
        <v>15000</v>
      </c>
      <c r="K368" s="28">
        <v>8.73</v>
      </c>
    </row>
    <row r="369" spans="1:11" ht="15" customHeight="1" x14ac:dyDescent="0.2">
      <c r="A369" s="28" t="s">
        <v>14</v>
      </c>
      <c r="B369" s="2" t="s">
        <v>29</v>
      </c>
      <c r="C369" s="30">
        <v>0.5</v>
      </c>
      <c r="D369" s="28">
        <f>YEAR(TableauFlitrage[[#This Row],[Date_d_adjudication]])</f>
        <v>2017</v>
      </c>
      <c r="E369" s="28">
        <f t="shared" si="5"/>
        <v>11</v>
      </c>
      <c r="F369" s="15">
        <v>43040</v>
      </c>
      <c r="G369" s="28">
        <v>97.310444444444443</v>
      </c>
      <c r="H369" s="15">
        <v>43224</v>
      </c>
      <c r="I369">
        <v>100</v>
      </c>
      <c r="J369">
        <v>5500</v>
      </c>
      <c r="K369" s="28">
        <v>5.32</v>
      </c>
    </row>
    <row r="370" spans="1:11" ht="15" customHeight="1" x14ac:dyDescent="0.2">
      <c r="A370" s="28" t="s">
        <v>9</v>
      </c>
      <c r="B370" s="2" t="s">
        <v>29</v>
      </c>
      <c r="C370" s="30">
        <v>0.25</v>
      </c>
      <c r="D370" s="28">
        <f>YEAR(TableauFlitrage[[#This Row],[Date_d_adjudication]])</f>
        <v>2017</v>
      </c>
      <c r="E370" s="28">
        <f t="shared" si="5"/>
        <v>11</v>
      </c>
      <c r="F370" s="15">
        <v>43040</v>
      </c>
      <c r="G370" s="28">
        <v>98.76391666666666</v>
      </c>
      <c r="H370" s="15">
        <v>43133</v>
      </c>
      <c r="I370">
        <v>151.78</v>
      </c>
      <c r="J370">
        <v>6500</v>
      </c>
      <c r="K370" s="28">
        <v>4.8899999999999997</v>
      </c>
    </row>
    <row r="371" spans="1:11" ht="15" customHeight="1" x14ac:dyDescent="0.2">
      <c r="A371" s="28" t="s">
        <v>9</v>
      </c>
      <c r="B371" s="2" t="s">
        <v>29</v>
      </c>
      <c r="C371" s="30">
        <v>0.5</v>
      </c>
      <c r="D371" s="28">
        <f>YEAR(TableauFlitrage[[#This Row],[Date_d_adjudication]])</f>
        <v>2017</v>
      </c>
      <c r="E371" s="28">
        <f t="shared" si="5"/>
        <v>11</v>
      </c>
      <c r="F371" s="15">
        <v>43047</v>
      </c>
      <c r="G371" s="28">
        <v>97.345833333333331</v>
      </c>
      <c r="H371" s="15">
        <v>43231</v>
      </c>
      <c r="I371">
        <v>101.25</v>
      </c>
      <c r="J371">
        <v>6000</v>
      </c>
      <c r="K371" s="28">
        <v>5.25</v>
      </c>
    </row>
    <row r="372" spans="1:11" ht="15" customHeight="1" x14ac:dyDescent="0.2">
      <c r="A372" s="28" t="s">
        <v>7</v>
      </c>
      <c r="B372" s="2" t="s">
        <v>29</v>
      </c>
      <c r="C372" s="30">
        <v>0.25</v>
      </c>
      <c r="D372" s="28">
        <f>YEAR(TableauFlitrage[[#This Row],[Date_d_adjudication]])</f>
        <v>2017</v>
      </c>
      <c r="E372" s="28">
        <f t="shared" si="5"/>
        <v>11</v>
      </c>
      <c r="F372" s="15">
        <v>43047</v>
      </c>
      <c r="G372" s="28">
        <v>99.213861111111115</v>
      </c>
      <c r="H372" s="15">
        <v>43140</v>
      </c>
      <c r="I372">
        <v>171.5</v>
      </c>
      <c r="J372">
        <v>5000</v>
      </c>
      <c r="K372" s="28">
        <v>3.11</v>
      </c>
    </row>
    <row r="373" spans="1:11" ht="15" customHeight="1" x14ac:dyDescent="0.2">
      <c r="A373" s="28" t="s">
        <v>10</v>
      </c>
      <c r="B373" s="2" t="s">
        <v>29</v>
      </c>
      <c r="C373" s="30">
        <v>1</v>
      </c>
      <c r="D373" s="28">
        <f>YEAR(TableauFlitrage[[#This Row],[Date_d_adjudication]])</f>
        <v>2017</v>
      </c>
      <c r="E373" s="28">
        <f t="shared" si="5"/>
        <v>11</v>
      </c>
      <c r="F373" s="15">
        <v>43047</v>
      </c>
      <c r="G373" s="28">
        <v>94.438888888888883</v>
      </c>
      <c r="H373" s="15">
        <v>43413</v>
      </c>
      <c r="I373">
        <v>10</v>
      </c>
      <c r="J373">
        <v>15000</v>
      </c>
      <c r="K373" s="28">
        <v>5.5</v>
      </c>
    </row>
    <row r="374" spans="1:11" ht="15" customHeight="1" x14ac:dyDescent="0.2">
      <c r="A374" s="28" t="s">
        <v>8</v>
      </c>
      <c r="B374" s="2" t="s">
        <v>29</v>
      </c>
      <c r="C374" s="30">
        <v>0.25</v>
      </c>
      <c r="D374" s="28">
        <f>YEAR(TableauFlitrage[[#This Row],[Date_d_adjudication]])</f>
        <v>2017</v>
      </c>
      <c r="E374" s="28">
        <f t="shared" si="5"/>
        <v>11</v>
      </c>
      <c r="F374" s="15">
        <v>43047</v>
      </c>
      <c r="G374" s="28">
        <v>98.590763888888887</v>
      </c>
      <c r="H374" s="15">
        <v>43140</v>
      </c>
      <c r="I374">
        <v>54.379999999999995</v>
      </c>
      <c r="J374">
        <v>4000</v>
      </c>
      <c r="K374" s="28">
        <v>5.5750000000000002</v>
      </c>
    </row>
    <row r="375" spans="1:11" ht="15" customHeight="1" x14ac:dyDescent="0.2">
      <c r="A375" s="28" t="s">
        <v>7</v>
      </c>
      <c r="B375" s="2" t="s">
        <v>29</v>
      </c>
      <c r="C375" s="30">
        <v>0.25</v>
      </c>
      <c r="D375" s="28">
        <f>YEAR(TableauFlitrage[[#This Row],[Date_d_adjudication]])</f>
        <v>2017</v>
      </c>
      <c r="E375" s="28">
        <f t="shared" si="5"/>
        <v>11</v>
      </c>
      <c r="F375" s="15">
        <v>43054</v>
      </c>
      <c r="G375" s="28">
        <v>99.191111111111113</v>
      </c>
      <c r="H375" s="15">
        <v>43147</v>
      </c>
      <c r="I375">
        <v>145</v>
      </c>
      <c r="J375">
        <v>10000</v>
      </c>
      <c r="K375" s="28">
        <v>3.2</v>
      </c>
    </row>
    <row r="376" spans="1:11" ht="15" customHeight="1" x14ac:dyDescent="0.2">
      <c r="A376" s="28" t="s">
        <v>9</v>
      </c>
      <c r="B376" s="2" t="s">
        <v>29</v>
      </c>
      <c r="C376" s="30">
        <v>0.5</v>
      </c>
      <c r="D376" s="28">
        <f>YEAR(TableauFlitrage[[#This Row],[Date_d_adjudication]])</f>
        <v>2017</v>
      </c>
      <c r="E376" s="28">
        <f t="shared" si="5"/>
        <v>11</v>
      </c>
      <c r="F376" s="15">
        <v>43054</v>
      </c>
      <c r="G376" s="28">
        <v>97.431777777777782</v>
      </c>
      <c r="H376" s="15">
        <v>43238</v>
      </c>
      <c r="I376">
        <v>125.63</v>
      </c>
      <c r="J376">
        <v>9500</v>
      </c>
      <c r="K376" s="28">
        <v>5.08</v>
      </c>
    </row>
    <row r="377" spans="1:11" ht="15" customHeight="1" x14ac:dyDescent="0.2">
      <c r="A377" s="28" t="s">
        <v>9</v>
      </c>
      <c r="B377" s="2" t="s">
        <v>29</v>
      </c>
      <c r="C377" s="30">
        <v>0.25</v>
      </c>
      <c r="D377" s="28">
        <f>YEAR(TableauFlitrage[[#This Row],[Date_d_adjudication]])</f>
        <v>2017</v>
      </c>
      <c r="E377" s="28">
        <f t="shared" si="5"/>
        <v>11</v>
      </c>
      <c r="F377" s="15">
        <v>43061</v>
      </c>
      <c r="G377" s="28">
        <v>98.814472222222221</v>
      </c>
      <c r="H377" s="15">
        <v>43154</v>
      </c>
      <c r="I377">
        <v>162.56</v>
      </c>
      <c r="J377">
        <v>13500</v>
      </c>
      <c r="K377" s="28">
        <v>4.6900000000000004</v>
      </c>
    </row>
    <row r="378" spans="1:11" ht="15" customHeight="1" x14ac:dyDescent="0.2">
      <c r="A378" s="28" t="s">
        <v>7</v>
      </c>
      <c r="B378" s="2" t="s">
        <v>29</v>
      </c>
      <c r="C378" s="30">
        <v>0.25</v>
      </c>
      <c r="D378" s="28">
        <f>YEAR(TableauFlitrage[[#This Row],[Date_d_adjudication]])</f>
        <v>2017</v>
      </c>
      <c r="E378" s="28">
        <f t="shared" si="5"/>
        <v>11</v>
      </c>
      <c r="F378" s="15">
        <v>43061</v>
      </c>
      <c r="G378" s="28">
        <v>99.19616666666667</v>
      </c>
      <c r="H378" s="15">
        <v>43154</v>
      </c>
      <c r="I378">
        <v>125.2</v>
      </c>
      <c r="J378">
        <v>10000</v>
      </c>
      <c r="K378" s="28">
        <v>3.18</v>
      </c>
    </row>
    <row r="379" spans="1:11" ht="15" customHeight="1" x14ac:dyDescent="0.2">
      <c r="A379" s="28" t="s">
        <v>10</v>
      </c>
      <c r="B379" s="2" t="s">
        <v>29</v>
      </c>
      <c r="C379" s="30">
        <v>1</v>
      </c>
      <c r="D379" s="28">
        <f>YEAR(TableauFlitrage[[#This Row],[Date_d_adjudication]])</f>
        <v>2017</v>
      </c>
      <c r="E379" s="28">
        <f t="shared" si="5"/>
        <v>11</v>
      </c>
      <c r="F379" s="15">
        <v>43061</v>
      </c>
      <c r="G379" s="28">
        <v>90.455111111111108</v>
      </c>
      <c r="H379" s="15">
        <v>43427</v>
      </c>
      <c r="I379">
        <v>66.67</v>
      </c>
      <c r="J379">
        <v>15000</v>
      </c>
      <c r="K379" s="28">
        <v>9.44</v>
      </c>
    </row>
    <row r="380" spans="1:11" ht="15" customHeight="1" x14ac:dyDescent="0.2">
      <c r="A380" s="28" t="s">
        <v>11</v>
      </c>
      <c r="B380" s="2" t="s">
        <v>29</v>
      </c>
      <c r="C380" s="30">
        <v>1</v>
      </c>
      <c r="D380" s="28">
        <f>YEAR(TableauFlitrage[[#This Row],[Date_d_adjudication]])</f>
        <v>2017</v>
      </c>
      <c r="E380" s="28">
        <f t="shared" si="5"/>
        <v>11</v>
      </c>
      <c r="F380" s="15">
        <v>43061</v>
      </c>
      <c r="G380" s="28">
        <v>93.933333333333337</v>
      </c>
      <c r="H380" s="15">
        <v>43427</v>
      </c>
      <c r="I380">
        <v>100</v>
      </c>
      <c r="J380">
        <v>8000</v>
      </c>
      <c r="K380" s="28">
        <v>6</v>
      </c>
    </row>
    <row r="381" spans="1:11" ht="15" customHeight="1" x14ac:dyDescent="0.2">
      <c r="A381" s="28" t="s">
        <v>9</v>
      </c>
      <c r="B381" s="2" t="s">
        <v>29</v>
      </c>
      <c r="C381" s="30">
        <v>0.5</v>
      </c>
      <c r="D381" s="28">
        <f>YEAR(TableauFlitrage[[#This Row],[Date_d_adjudication]])</f>
        <v>2017</v>
      </c>
      <c r="E381" s="28">
        <f t="shared" si="5"/>
        <v>11</v>
      </c>
      <c r="F381" s="15">
        <v>43068</v>
      </c>
      <c r="G381" s="28">
        <v>97.391955166666662</v>
      </c>
      <c r="H381" s="15">
        <v>43252</v>
      </c>
      <c r="I381">
        <v>56.999999999999993</v>
      </c>
      <c r="J381">
        <v>10000</v>
      </c>
      <c r="K381" s="28">
        <v>5.1587699999999996</v>
      </c>
    </row>
    <row r="382" spans="1:11" ht="15" customHeight="1" x14ac:dyDescent="0.2">
      <c r="A382" s="28" t="s">
        <v>7</v>
      </c>
      <c r="B382" s="2" t="s">
        <v>29</v>
      </c>
      <c r="C382" s="30">
        <v>0.5</v>
      </c>
      <c r="D382" s="28">
        <f>YEAR(TableauFlitrage[[#This Row],[Date_d_adjudication]])</f>
        <v>2017</v>
      </c>
      <c r="E382" s="28">
        <f t="shared" ref="E382:E444" si="6">MONTH(F382)</f>
        <v>11</v>
      </c>
      <c r="F382" s="15">
        <v>43068</v>
      </c>
      <c r="G382" s="28">
        <v>98.208892500000005</v>
      </c>
      <c r="H382" s="15">
        <v>43252</v>
      </c>
      <c r="I382">
        <v>135.714</v>
      </c>
      <c r="J382">
        <v>7000</v>
      </c>
      <c r="K382" s="28">
        <v>3.5428500000000001</v>
      </c>
    </row>
    <row r="383" spans="1:11" ht="15" customHeight="1" x14ac:dyDescent="0.2">
      <c r="A383" s="28" t="s">
        <v>7</v>
      </c>
      <c r="B383" s="2" t="s">
        <v>29</v>
      </c>
      <c r="C383" s="30">
        <v>0.5</v>
      </c>
      <c r="D383" s="28">
        <f>YEAR(TableauFlitrage[[#This Row],[Date_d_adjudication]])</f>
        <v>2017</v>
      </c>
      <c r="E383" s="28">
        <f t="shared" si="6"/>
        <v>12</v>
      </c>
      <c r="F383" s="15">
        <v>43075</v>
      </c>
      <c r="G383" s="28">
        <v>98.134500000000003</v>
      </c>
      <c r="H383" s="15">
        <v>43259</v>
      </c>
      <c r="I383">
        <v>135.71</v>
      </c>
      <c r="J383">
        <v>7000</v>
      </c>
      <c r="K383" s="28">
        <v>3.69</v>
      </c>
    </row>
    <row r="384" spans="1:11" ht="15" customHeight="1" x14ac:dyDescent="0.2">
      <c r="A384" s="28" t="s">
        <v>10</v>
      </c>
      <c r="B384" s="2" t="s">
        <v>29</v>
      </c>
      <c r="C384" s="30">
        <v>1</v>
      </c>
      <c r="D384" s="28">
        <f>YEAR(TableauFlitrage[[#This Row],[Date_d_adjudication]])</f>
        <v>2017</v>
      </c>
      <c r="E384" s="28">
        <f t="shared" si="6"/>
        <v>12</v>
      </c>
      <c r="F384" s="15">
        <v>43075</v>
      </c>
      <c r="G384" s="28">
        <v>92.922222222222217</v>
      </c>
      <c r="H384" s="15">
        <v>43441</v>
      </c>
      <c r="I384">
        <v>10</v>
      </c>
      <c r="J384">
        <v>15000</v>
      </c>
      <c r="K384" s="28">
        <v>7</v>
      </c>
    </row>
    <row r="385" spans="1:11" ht="15" customHeight="1" x14ac:dyDescent="0.2">
      <c r="A385" s="28" t="s">
        <v>9</v>
      </c>
      <c r="B385" s="2" t="s">
        <v>29</v>
      </c>
      <c r="C385" s="30">
        <v>0.25</v>
      </c>
      <c r="D385" s="28">
        <f>YEAR(TableauFlitrage[[#This Row],[Date_d_adjudication]])</f>
        <v>2017</v>
      </c>
      <c r="E385" s="28">
        <f t="shared" si="6"/>
        <v>12</v>
      </c>
      <c r="F385" s="15">
        <v>43075</v>
      </c>
      <c r="G385" s="28">
        <v>98.736111111111114</v>
      </c>
      <c r="H385" s="15">
        <v>43168</v>
      </c>
      <c r="I385">
        <v>80.800000000000011</v>
      </c>
      <c r="J385">
        <v>10000</v>
      </c>
      <c r="K385" s="28">
        <v>5</v>
      </c>
    </row>
    <row r="386" spans="1:11" ht="15" customHeight="1" x14ac:dyDescent="0.2">
      <c r="A386" s="28" t="s">
        <v>9</v>
      </c>
      <c r="B386" s="2" t="s">
        <v>29</v>
      </c>
      <c r="C386" s="30">
        <v>0.5</v>
      </c>
      <c r="D386" s="28">
        <f>YEAR(TableauFlitrage[[#This Row],[Date_d_adjudication]])</f>
        <v>2017</v>
      </c>
      <c r="E386" s="28">
        <f t="shared" si="6"/>
        <v>12</v>
      </c>
      <c r="F386" s="15">
        <v>43082</v>
      </c>
      <c r="G386" s="28">
        <v>97.350888888888889</v>
      </c>
      <c r="H386" s="15">
        <v>43266</v>
      </c>
      <c r="I386">
        <v>130</v>
      </c>
      <c r="J386">
        <v>10000</v>
      </c>
      <c r="K386" s="28">
        <v>5.24</v>
      </c>
    </row>
    <row r="387" spans="1:11" ht="15" customHeight="1" x14ac:dyDescent="0.2">
      <c r="A387" s="28" t="s">
        <v>7</v>
      </c>
      <c r="B387" s="2" t="s">
        <v>29</v>
      </c>
      <c r="C387" s="30">
        <v>0.5</v>
      </c>
      <c r="D387" s="28">
        <f>YEAR(TableauFlitrage[[#This Row],[Date_d_adjudication]])</f>
        <v>2017</v>
      </c>
      <c r="E387" s="28">
        <f t="shared" si="6"/>
        <v>12</v>
      </c>
      <c r="F387" s="15">
        <v>43082</v>
      </c>
      <c r="G387" s="28">
        <v>98.109222222222229</v>
      </c>
      <c r="H387" s="15">
        <v>43266</v>
      </c>
      <c r="I387">
        <v>58.209999999999994</v>
      </c>
      <c r="J387">
        <v>7000</v>
      </c>
      <c r="K387" s="28">
        <v>3.74</v>
      </c>
    </row>
    <row r="388" spans="1:11" ht="15" customHeight="1" x14ac:dyDescent="0.2">
      <c r="A388" s="28" t="s">
        <v>8</v>
      </c>
      <c r="B388" s="2" t="s">
        <v>29</v>
      </c>
      <c r="C388" s="30">
        <v>0.25</v>
      </c>
      <c r="D388" s="28">
        <f>YEAR(TableauFlitrage[[#This Row],[Date_d_adjudication]])</f>
        <v>2017</v>
      </c>
      <c r="E388" s="28">
        <f t="shared" si="6"/>
        <v>12</v>
      </c>
      <c r="F388" s="15">
        <v>43082</v>
      </c>
      <c r="G388" s="28">
        <v>98.59708333333333</v>
      </c>
      <c r="H388" s="15">
        <v>43175</v>
      </c>
      <c r="I388">
        <v>27.500000000000004</v>
      </c>
      <c r="J388">
        <v>8000</v>
      </c>
      <c r="K388" s="28">
        <v>5.55</v>
      </c>
    </row>
    <row r="389" spans="1:11" ht="15" customHeight="1" x14ac:dyDescent="0.2">
      <c r="A389" s="28" t="s">
        <v>11</v>
      </c>
      <c r="B389" s="2" t="s">
        <v>29</v>
      </c>
      <c r="C389" s="30">
        <v>1</v>
      </c>
      <c r="D389" s="28">
        <f>YEAR(TableauFlitrage[[#This Row],[Date_d_adjudication]])</f>
        <v>2017</v>
      </c>
      <c r="E389" s="28">
        <f t="shared" si="6"/>
        <v>12</v>
      </c>
      <c r="F389" s="15">
        <v>43089</v>
      </c>
      <c r="G389" s="28">
        <v>93.650222222222226</v>
      </c>
      <c r="H389" s="15">
        <v>43455</v>
      </c>
      <c r="I389">
        <v>98.54</v>
      </c>
      <c r="J389">
        <v>13700</v>
      </c>
      <c r="K389" s="28">
        <v>6.28</v>
      </c>
    </row>
    <row r="390" spans="1:11" ht="15" customHeight="1" x14ac:dyDescent="0.2">
      <c r="A390" s="28" t="s">
        <v>9</v>
      </c>
      <c r="B390" s="2" t="s">
        <v>29</v>
      </c>
      <c r="C390" s="30">
        <v>0.5</v>
      </c>
      <c r="D390" s="28">
        <f>YEAR(TableauFlitrage[[#This Row],[Date_d_adjudication]])</f>
        <v>2017</v>
      </c>
      <c r="E390" s="28">
        <f t="shared" si="6"/>
        <v>12</v>
      </c>
      <c r="F390" s="15">
        <v>43089</v>
      </c>
      <c r="G390" s="28">
        <v>97.38122222222222</v>
      </c>
      <c r="H390" s="15">
        <v>43273</v>
      </c>
      <c r="I390">
        <v>131.66999999999999</v>
      </c>
      <c r="J390">
        <v>7900</v>
      </c>
      <c r="K390" s="28">
        <v>5.18</v>
      </c>
    </row>
    <row r="391" spans="1:11" ht="15" customHeight="1" x14ac:dyDescent="0.2">
      <c r="A391" s="28" t="s">
        <v>9</v>
      </c>
      <c r="B391" s="2" t="s">
        <v>29</v>
      </c>
      <c r="C391" s="30">
        <v>0.25</v>
      </c>
      <c r="D391" s="28">
        <f>YEAR(TableauFlitrage[[#This Row],[Date_d_adjudication]])</f>
        <v>2017</v>
      </c>
      <c r="E391" s="28">
        <f t="shared" si="6"/>
        <v>12</v>
      </c>
      <c r="F391" s="15">
        <v>43096</v>
      </c>
      <c r="G391" s="28">
        <v>98.71841666666667</v>
      </c>
      <c r="H391" s="15">
        <v>43189</v>
      </c>
      <c r="I391">
        <v>150</v>
      </c>
      <c r="J391">
        <v>10000</v>
      </c>
      <c r="K391" s="28">
        <v>5.07</v>
      </c>
    </row>
    <row r="392" spans="1:11" ht="15" customHeight="1" x14ac:dyDescent="0.2">
      <c r="A392" s="28" t="s">
        <v>7</v>
      </c>
      <c r="B392" s="2" t="s">
        <v>29</v>
      </c>
      <c r="C392" s="30">
        <v>0.25</v>
      </c>
      <c r="D392" s="28">
        <f>YEAR(TableauFlitrage[[#This Row],[Date_d_adjudication]])</f>
        <v>2017</v>
      </c>
      <c r="E392" s="28">
        <f t="shared" si="6"/>
        <v>12</v>
      </c>
      <c r="F392" s="15">
        <v>43096</v>
      </c>
      <c r="G392" s="28">
        <v>99.13044444444445</v>
      </c>
      <c r="H392" s="15">
        <v>43189</v>
      </c>
      <c r="I392">
        <v>40</v>
      </c>
      <c r="J392">
        <v>10000</v>
      </c>
      <c r="K392" s="28">
        <v>3.44</v>
      </c>
    </row>
    <row r="393" spans="1:11" ht="15" customHeight="1" x14ac:dyDescent="0.2">
      <c r="A393" s="28" t="s">
        <v>14</v>
      </c>
      <c r="B393" s="2" t="s">
        <v>29</v>
      </c>
      <c r="C393" s="30">
        <v>0.5</v>
      </c>
      <c r="D393" s="28">
        <f>YEAR(TableauFlitrage[[#This Row],[Date_d_adjudication]])</f>
        <v>2017</v>
      </c>
      <c r="E393" s="28">
        <f t="shared" si="6"/>
        <v>12</v>
      </c>
      <c r="F393" s="15">
        <v>43096</v>
      </c>
      <c r="G393" s="28">
        <v>97.406499999999994</v>
      </c>
      <c r="H393" s="15">
        <v>43280</v>
      </c>
      <c r="I393">
        <v>100</v>
      </c>
      <c r="J393">
        <v>4000</v>
      </c>
      <c r="K393" s="28">
        <v>5.13</v>
      </c>
    </row>
    <row r="394" spans="1:11" ht="15" customHeight="1" x14ac:dyDescent="0.2">
      <c r="A394" s="28" t="s">
        <v>8</v>
      </c>
      <c r="B394" s="2" t="s">
        <v>29</v>
      </c>
      <c r="C394" s="30">
        <v>0.25</v>
      </c>
      <c r="D394" s="28">
        <f>YEAR(TableauFlitrage[[#This Row],[Date_d_adjudication]])</f>
        <v>2018</v>
      </c>
      <c r="E394" s="28">
        <f t="shared" si="6"/>
        <v>1</v>
      </c>
      <c r="F394" s="15">
        <v>43103</v>
      </c>
      <c r="G394" s="28">
        <v>98.55916666666667</v>
      </c>
      <c r="H394" s="15">
        <v>43196</v>
      </c>
      <c r="I394">
        <v>61.429999999999993</v>
      </c>
      <c r="J394">
        <v>7000</v>
      </c>
      <c r="K394" s="28">
        <v>5.7</v>
      </c>
    </row>
    <row r="395" spans="1:11" ht="15" customHeight="1" x14ac:dyDescent="0.2">
      <c r="A395" s="28" t="s">
        <v>9</v>
      </c>
      <c r="B395" s="2" t="s">
        <v>29</v>
      </c>
      <c r="C395" s="30">
        <v>0.5</v>
      </c>
      <c r="D395" s="28">
        <f>YEAR(TableauFlitrage[[#This Row],[Date_d_adjudication]])</f>
        <v>2018</v>
      </c>
      <c r="E395" s="28">
        <f t="shared" si="6"/>
        <v>1</v>
      </c>
      <c r="F395" s="15">
        <v>43103</v>
      </c>
      <c r="G395" s="28">
        <v>97.467166666666671</v>
      </c>
      <c r="H395" s="15">
        <v>43287</v>
      </c>
      <c r="I395">
        <v>131.06</v>
      </c>
      <c r="J395">
        <v>9000</v>
      </c>
      <c r="K395" s="28">
        <v>5.01</v>
      </c>
    </row>
    <row r="396" spans="1:11" ht="15" customHeight="1" x14ac:dyDescent="0.2">
      <c r="A396" s="28" t="s">
        <v>10</v>
      </c>
      <c r="B396" s="2" t="s">
        <v>29</v>
      </c>
      <c r="C396" s="30">
        <v>1</v>
      </c>
      <c r="D396" s="28">
        <f>YEAR(TableauFlitrage[[#This Row],[Date_d_adjudication]])</f>
        <v>2018</v>
      </c>
      <c r="E396" s="28">
        <f t="shared" si="6"/>
        <v>1</v>
      </c>
      <c r="F396" s="15">
        <v>43103</v>
      </c>
      <c r="G396" s="28">
        <v>94.176000000000002</v>
      </c>
      <c r="H396" s="15">
        <v>43469</v>
      </c>
      <c r="I396">
        <v>10</v>
      </c>
      <c r="J396">
        <v>15000</v>
      </c>
      <c r="K396" s="28">
        <v>5.76</v>
      </c>
    </row>
    <row r="397" spans="1:11" ht="15" customHeight="1" x14ac:dyDescent="0.2">
      <c r="A397" s="28" t="s">
        <v>9</v>
      </c>
      <c r="B397" s="2" t="s">
        <v>29</v>
      </c>
      <c r="C397" s="30">
        <v>0.25</v>
      </c>
      <c r="D397" s="28">
        <f>YEAR(TableauFlitrage[[#This Row],[Date_d_adjudication]])</f>
        <v>2018</v>
      </c>
      <c r="E397" s="28">
        <f t="shared" si="6"/>
        <v>1</v>
      </c>
      <c r="F397" s="15">
        <v>43110</v>
      </c>
      <c r="G397" s="28">
        <v>98.733583333333328</v>
      </c>
      <c r="H397" s="15">
        <v>43203</v>
      </c>
      <c r="I397">
        <v>132.58000000000001</v>
      </c>
      <c r="J397">
        <v>12000</v>
      </c>
      <c r="K397" s="28">
        <v>5.01</v>
      </c>
    </row>
    <row r="398" spans="1:11" ht="15" customHeight="1" x14ac:dyDescent="0.2">
      <c r="A398" s="28" t="s">
        <v>11</v>
      </c>
      <c r="B398" s="2" t="s">
        <v>29</v>
      </c>
      <c r="C398" s="30">
        <v>1</v>
      </c>
      <c r="D398" s="28">
        <f>YEAR(TableauFlitrage[[#This Row],[Date_d_adjudication]])</f>
        <v>2018</v>
      </c>
      <c r="E398" s="28">
        <f t="shared" si="6"/>
        <v>1</v>
      </c>
      <c r="F398" s="15">
        <v>43110</v>
      </c>
      <c r="G398" s="28">
        <v>93.933333333333337</v>
      </c>
      <c r="H398" s="15">
        <v>43476</v>
      </c>
      <c r="I398">
        <v>100</v>
      </c>
      <c r="J398">
        <v>22500</v>
      </c>
      <c r="K398" s="28">
        <v>6</v>
      </c>
    </row>
    <row r="399" spans="1:11" ht="15" customHeight="1" x14ac:dyDescent="0.2">
      <c r="A399" s="28" t="s">
        <v>11</v>
      </c>
      <c r="B399" s="2" t="s">
        <v>29</v>
      </c>
      <c r="C399" s="30">
        <v>0.5</v>
      </c>
      <c r="D399" s="28">
        <f>YEAR(TableauFlitrage[[#This Row],[Date_d_adjudication]])</f>
        <v>2018</v>
      </c>
      <c r="E399" s="28">
        <f t="shared" si="6"/>
        <v>1</v>
      </c>
      <c r="F399" s="15">
        <v>43117</v>
      </c>
      <c r="G399" s="28">
        <v>96.916111111111107</v>
      </c>
      <c r="H399" s="15">
        <v>43301</v>
      </c>
      <c r="I399">
        <v>105.11999999999999</v>
      </c>
      <c r="J399">
        <v>20500</v>
      </c>
      <c r="K399" s="28">
        <v>6.1</v>
      </c>
    </row>
    <row r="400" spans="1:11" ht="15" customHeight="1" x14ac:dyDescent="0.2">
      <c r="A400" s="28" t="s">
        <v>7</v>
      </c>
      <c r="B400" s="2" t="s">
        <v>29</v>
      </c>
      <c r="C400" s="30">
        <v>0.5</v>
      </c>
      <c r="D400" s="28">
        <f>YEAR(TableauFlitrage[[#This Row],[Date_d_adjudication]])</f>
        <v>2018</v>
      </c>
      <c r="E400" s="28">
        <f t="shared" si="6"/>
        <v>1</v>
      </c>
      <c r="F400" s="15">
        <v>43117</v>
      </c>
      <c r="G400" s="28">
        <v>98.129444444444445</v>
      </c>
      <c r="H400" s="15">
        <v>43301</v>
      </c>
      <c r="I400">
        <v>316.40000000000003</v>
      </c>
      <c r="J400">
        <v>5000</v>
      </c>
      <c r="K400" s="28">
        <v>3.7</v>
      </c>
    </row>
    <row r="401" spans="1:11" ht="15" customHeight="1" x14ac:dyDescent="0.2">
      <c r="A401" s="28" t="s">
        <v>9</v>
      </c>
      <c r="B401" s="2" t="s">
        <v>29</v>
      </c>
      <c r="C401" s="30">
        <v>0.5</v>
      </c>
      <c r="D401" s="28">
        <f>YEAR(TableauFlitrage[[#This Row],[Date_d_adjudication]])</f>
        <v>2018</v>
      </c>
      <c r="E401" s="28">
        <f t="shared" si="6"/>
        <v>1</v>
      </c>
      <c r="F401" s="15">
        <v>43117</v>
      </c>
      <c r="G401" s="28">
        <v>97.426722222222224</v>
      </c>
      <c r="H401" s="15">
        <v>43301</v>
      </c>
      <c r="I401">
        <v>158.82</v>
      </c>
      <c r="J401">
        <v>8500</v>
      </c>
      <c r="K401" s="28">
        <v>5.09</v>
      </c>
    </row>
    <row r="402" spans="1:11" ht="15" customHeight="1" x14ac:dyDescent="0.2">
      <c r="A402" s="28" t="s">
        <v>10</v>
      </c>
      <c r="B402" s="2" t="s">
        <v>29</v>
      </c>
      <c r="C402" s="30">
        <v>1</v>
      </c>
      <c r="D402" s="28">
        <f>YEAR(TableauFlitrage[[#This Row],[Date_d_adjudication]])</f>
        <v>2018</v>
      </c>
      <c r="E402" s="28">
        <f t="shared" si="6"/>
        <v>1</v>
      </c>
      <c r="F402" s="15">
        <v>43117</v>
      </c>
      <c r="G402" s="28">
        <v>92.002111111111105</v>
      </c>
      <c r="H402" s="15">
        <v>43483</v>
      </c>
      <c r="I402">
        <v>197.67</v>
      </c>
      <c r="J402">
        <v>15000</v>
      </c>
      <c r="K402" s="28">
        <v>7.91</v>
      </c>
    </row>
    <row r="403" spans="1:11" ht="15" customHeight="1" x14ac:dyDescent="0.2">
      <c r="A403" s="28" t="s">
        <v>9</v>
      </c>
      <c r="B403" s="2" t="s">
        <v>29</v>
      </c>
      <c r="C403" s="30">
        <v>0.25</v>
      </c>
      <c r="D403" s="28">
        <f>YEAR(TableauFlitrage[[#This Row],[Date_d_adjudication]])</f>
        <v>2018</v>
      </c>
      <c r="E403" s="28">
        <f t="shared" si="6"/>
        <v>1</v>
      </c>
      <c r="F403" s="15">
        <v>43124</v>
      </c>
      <c r="G403" s="28">
        <v>98.786666666666662</v>
      </c>
      <c r="H403" s="15">
        <v>43217</v>
      </c>
      <c r="I403">
        <v>170</v>
      </c>
      <c r="J403">
        <v>10000</v>
      </c>
      <c r="K403" s="28">
        <v>4.8</v>
      </c>
    </row>
    <row r="404" spans="1:11" ht="15" customHeight="1" x14ac:dyDescent="0.2">
      <c r="A404" s="28" t="s">
        <v>7</v>
      </c>
      <c r="B404" s="2" t="s">
        <v>29</v>
      </c>
      <c r="C404" s="30">
        <v>0.25</v>
      </c>
      <c r="D404" s="28">
        <f>YEAR(TableauFlitrage[[#This Row],[Date_d_adjudication]])</f>
        <v>2018</v>
      </c>
      <c r="E404" s="28">
        <f t="shared" si="6"/>
        <v>1</v>
      </c>
      <c r="F404" s="15">
        <v>43124</v>
      </c>
      <c r="G404" s="28">
        <v>99.183527777777783</v>
      </c>
      <c r="H404" s="15">
        <v>43217</v>
      </c>
      <c r="I404">
        <v>260.40000000000003</v>
      </c>
      <c r="J404">
        <v>5000</v>
      </c>
      <c r="K404" s="28">
        <v>3.23</v>
      </c>
    </row>
    <row r="405" spans="1:11" ht="15" customHeight="1" x14ac:dyDescent="0.2">
      <c r="A405" s="28" t="s">
        <v>11</v>
      </c>
      <c r="B405" s="2" t="s">
        <v>29</v>
      </c>
      <c r="C405" s="30">
        <v>1</v>
      </c>
      <c r="D405" s="28">
        <f>YEAR(TableauFlitrage[[#This Row],[Date_d_adjudication]])</f>
        <v>2018</v>
      </c>
      <c r="E405" s="28">
        <f t="shared" si="6"/>
        <v>1</v>
      </c>
      <c r="F405" s="15">
        <v>43124</v>
      </c>
      <c r="G405" s="28">
        <v>93.427777777777777</v>
      </c>
      <c r="H405" s="15">
        <v>43490</v>
      </c>
      <c r="I405">
        <v>95.240000000000009</v>
      </c>
      <c r="J405">
        <v>6300</v>
      </c>
      <c r="K405" s="28">
        <v>6.5</v>
      </c>
    </row>
    <row r="406" spans="1:11" ht="15" customHeight="1" x14ac:dyDescent="0.2">
      <c r="A406" s="28" t="s">
        <v>9</v>
      </c>
      <c r="B406" s="2" t="s">
        <v>29</v>
      </c>
      <c r="C406" s="30">
        <v>0.5</v>
      </c>
      <c r="D406" s="28">
        <f>YEAR(TableauFlitrage[[#This Row],[Date_d_adjudication]])</f>
        <v>2018</v>
      </c>
      <c r="E406" s="28">
        <f t="shared" si="6"/>
        <v>1</v>
      </c>
      <c r="F406" s="15">
        <v>43131</v>
      </c>
      <c r="G406" s="28">
        <v>97.441888888888883</v>
      </c>
      <c r="H406" s="15">
        <v>43315</v>
      </c>
      <c r="I406">
        <v>340</v>
      </c>
      <c r="K406" s="28">
        <v>5.0599999999999996</v>
      </c>
    </row>
    <row r="407" spans="1:11" ht="15" customHeight="1" x14ac:dyDescent="0.2">
      <c r="A407" s="28" t="s">
        <v>8</v>
      </c>
      <c r="B407" s="2" t="s">
        <v>29</v>
      </c>
      <c r="C407" s="30">
        <v>0.25</v>
      </c>
      <c r="D407" s="28">
        <f>YEAR(TableauFlitrage[[#This Row],[Date_d_adjudication]])</f>
        <v>2018</v>
      </c>
      <c r="E407" s="28">
        <f t="shared" si="6"/>
        <v>1</v>
      </c>
      <c r="F407" s="15">
        <v>43131</v>
      </c>
      <c r="G407" s="28">
        <v>98.458055555555561</v>
      </c>
      <c r="H407" s="15">
        <v>43224</v>
      </c>
      <c r="I407">
        <v>52.5</v>
      </c>
      <c r="K407" s="28">
        <v>6.1</v>
      </c>
    </row>
    <row r="408" spans="1:11" ht="15" customHeight="1" x14ac:dyDescent="0.2">
      <c r="A408" s="28" t="s">
        <v>7</v>
      </c>
      <c r="B408" s="2" t="s">
        <v>29</v>
      </c>
      <c r="C408" s="30">
        <v>0.25</v>
      </c>
      <c r="D408" s="28">
        <f>YEAR(TableauFlitrage[[#This Row],[Date_d_adjudication]])</f>
        <v>2018</v>
      </c>
      <c r="E408" s="28">
        <f t="shared" si="6"/>
        <v>2</v>
      </c>
      <c r="F408" s="15">
        <v>43138</v>
      </c>
      <c r="G408" s="28">
        <v>99.21906833333334</v>
      </c>
      <c r="H408" s="15">
        <v>43231</v>
      </c>
      <c r="I408">
        <v>365.4</v>
      </c>
      <c r="J408">
        <v>5000</v>
      </c>
      <c r="K408" s="28">
        <v>3.0893999999999999</v>
      </c>
    </row>
    <row r="409" spans="1:11" ht="15" customHeight="1" x14ac:dyDescent="0.2">
      <c r="A409" s="28" t="s">
        <v>9</v>
      </c>
      <c r="B409" s="2" t="s">
        <v>29</v>
      </c>
      <c r="C409" s="30">
        <v>0.25</v>
      </c>
      <c r="D409" s="28">
        <f>YEAR(TableauFlitrage[[#This Row],[Date_d_adjudication]])</f>
        <v>2018</v>
      </c>
      <c r="E409" s="28">
        <f t="shared" si="6"/>
        <v>2</v>
      </c>
      <c r="F409" s="15">
        <v>43138</v>
      </c>
      <c r="G409" s="28">
        <v>98.780273916666673</v>
      </c>
      <c r="H409" s="15">
        <v>43231</v>
      </c>
      <c r="I409">
        <v>256.17599999999999</v>
      </c>
      <c r="J409">
        <v>8500</v>
      </c>
      <c r="K409" s="28">
        <v>4.8252899999999999</v>
      </c>
    </row>
    <row r="410" spans="1:11" ht="15" customHeight="1" x14ac:dyDescent="0.2">
      <c r="A410" s="28" t="s">
        <v>11</v>
      </c>
      <c r="B410" s="2" t="s">
        <v>29</v>
      </c>
      <c r="C410" s="30">
        <v>1</v>
      </c>
      <c r="D410" s="28">
        <f>YEAR(TableauFlitrage[[#This Row],[Date_d_adjudication]])</f>
        <v>2018</v>
      </c>
      <c r="E410" s="28">
        <f t="shared" si="6"/>
        <v>2</v>
      </c>
      <c r="F410" s="15">
        <v>43138</v>
      </c>
      <c r="G410" s="28">
        <v>93.933333333333337</v>
      </c>
      <c r="H410" s="15">
        <v>43504</v>
      </c>
      <c r="I410">
        <v>100</v>
      </c>
      <c r="J410">
        <v>12000</v>
      </c>
      <c r="K410" s="28">
        <v>6</v>
      </c>
    </row>
    <row r="411" spans="1:11" ht="15" customHeight="1" x14ac:dyDescent="0.2">
      <c r="A411" s="28" t="s">
        <v>9</v>
      </c>
      <c r="B411" s="2" t="s">
        <v>29</v>
      </c>
      <c r="C411" s="30">
        <v>0.5</v>
      </c>
      <c r="D411" s="28">
        <f>YEAR(TableauFlitrage[[#This Row],[Date_d_adjudication]])</f>
        <v>2018</v>
      </c>
      <c r="E411" s="28">
        <f t="shared" si="6"/>
        <v>2</v>
      </c>
      <c r="F411" s="15">
        <v>43145</v>
      </c>
      <c r="G411" s="28">
        <v>97.50255555555556</v>
      </c>
      <c r="H411" s="15">
        <v>43329</v>
      </c>
      <c r="I411">
        <v>153.42599999999999</v>
      </c>
      <c r="J411">
        <v>7500</v>
      </c>
      <c r="K411" s="28">
        <v>4.9400000000000004</v>
      </c>
    </row>
    <row r="412" spans="1:11" ht="15" customHeight="1" x14ac:dyDescent="0.2">
      <c r="A412" s="28" t="s">
        <v>7</v>
      </c>
      <c r="B412" s="2" t="s">
        <v>29</v>
      </c>
      <c r="C412" s="30">
        <v>0.25</v>
      </c>
      <c r="D412" s="28">
        <f>YEAR(TableauFlitrage[[#This Row],[Date_d_adjudication]])</f>
        <v>2018</v>
      </c>
      <c r="E412" s="28">
        <f t="shared" si="6"/>
        <v>2</v>
      </c>
      <c r="F412" s="15">
        <v>43145</v>
      </c>
      <c r="G412" s="28">
        <v>99.231568194444449</v>
      </c>
      <c r="H412" s="15">
        <v>43238</v>
      </c>
      <c r="I412">
        <v>314.10000000000002</v>
      </c>
      <c r="J412">
        <v>5000</v>
      </c>
      <c r="K412" s="28">
        <v>3.0399500000000002</v>
      </c>
    </row>
    <row r="413" spans="1:11" ht="15" customHeight="1" x14ac:dyDescent="0.2">
      <c r="A413" s="28" t="s">
        <v>10</v>
      </c>
      <c r="B413" s="2" t="s">
        <v>29</v>
      </c>
      <c r="C413" s="30">
        <v>1</v>
      </c>
      <c r="D413" s="28">
        <f>YEAR(TableauFlitrage[[#This Row],[Date_d_adjudication]])</f>
        <v>2018</v>
      </c>
      <c r="E413" s="28">
        <f t="shared" si="6"/>
        <v>2</v>
      </c>
      <c r="F413" s="15">
        <v>43145</v>
      </c>
      <c r="G413" s="28">
        <v>91.132555555555555</v>
      </c>
      <c r="H413" s="15">
        <v>43511</v>
      </c>
      <c r="I413">
        <v>73.33</v>
      </c>
      <c r="J413">
        <v>11000</v>
      </c>
      <c r="K413" s="28">
        <v>8.77</v>
      </c>
    </row>
    <row r="414" spans="1:11" ht="15" customHeight="1" x14ac:dyDescent="0.2">
      <c r="A414" s="28" t="s">
        <v>9</v>
      </c>
      <c r="B414" s="2" t="s">
        <v>29</v>
      </c>
      <c r="C414" s="30">
        <v>0.25</v>
      </c>
      <c r="D414" s="28">
        <f>YEAR(TableauFlitrage[[#This Row],[Date_d_adjudication]])</f>
        <v>2018</v>
      </c>
      <c r="E414" s="28">
        <f t="shared" si="6"/>
        <v>2</v>
      </c>
      <c r="F414" s="15">
        <v>43152</v>
      </c>
      <c r="G414" s="28">
        <v>98.805139666666662</v>
      </c>
      <c r="H414" s="15">
        <v>43245</v>
      </c>
      <c r="I414">
        <v>189.93</v>
      </c>
      <c r="J414">
        <v>13000</v>
      </c>
      <c r="K414" s="28">
        <v>4.7269199999999998</v>
      </c>
    </row>
    <row r="415" spans="1:11" ht="15" customHeight="1" x14ac:dyDescent="0.2">
      <c r="A415" s="28" t="s">
        <v>7</v>
      </c>
      <c r="B415" s="2" t="s">
        <v>29</v>
      </c>
      <c r="C415" s="30">
        <v>0.25</v>
      </c>
      <c r="D415" s="28">
        <f>YEAR(TableauFlitrage[[#This Row],[Date_d_adjudication]])</f>
        <v>2018</v>
      </c>
      <c r="E415" s="28">
        <f t="shared" si="6"/>
        <v>2</v>
      </c>
      <c r="F415" s="15">
        <v>43152</v>
      </c>
      <c r="G415" s="28">
        <v>99.254305555555561</v>
      </c>
      <c r="H415" s="15">
        <v>43245</v>
      </c>
      <c r="I415">
        <v>327.02</v>
      </c>
      <c r="J415">
        <v>5000</v>
      </c>
      <c r="K415" s="28">
        <v>2.95</v>
      </c>
    </row>
    <row r="416" spans="1:11" ht="15" customHeight="1" x14ac:dyDescent="0.2">
      <c r="A416" s="28" t="s">
        <v>7</v>
      </c>
      <c r="B416" s="2" t="s">
        <v>29</v>
      </c>
      <c r="C416" s="30">
        <v>0.5</v>
      </c>
      <c r="D416" s="28">
        <f>YEAR(TableauFlitrage[[#This Row],[Date_d_adjudication]])</f>
        <v>2018</v>
      </c>
      <c r="E416" s="28">
        <f t="shared" si="6"/>
        <v>2</v>
      </c>
      <c r="F416" s="15">
        <v>43159</v>
      </c>
      <c r="G416" s="28">
        <v>98.466902777777776</v>
      </c>
      <c r="H416" s="15">
        <v>43343</v>
      </c>
      <c r="I416">
        <v>229.08</v>
      </c>
      <c r="J416">
        <v>10000</v>
      </c>
      <c r="K416" s="28">
        <v>3.0325000000000002</v>
      </c>
    </row>
    <row r="417" spans="1:12" ht="15" customHeight="1" x14ac:dyDescent="0.2">
      <c r="A417" s="28" t="s">
        <v>8</v>
      </c>
      <c r="B417" s="2" t="s">
        <v>29</v>
      </c>
      <c r="C417" s="30">
        <v>0.25</v>
      </c>
      <c r="D417" s="28">
        <f>YEAR(TableauFlitrage[[#This Row],[Date_d_adjudication]])</f>
        <v>2018</v>
      </c>
      <c r="E417" s="28">
        <f t="shared" si="6"/>
        <v>2</v>
      </c>
      <c r="F417" s="15">
        <v>43159</v>
      </c>
      <c r="G417" s="28">
        <v>98.483333333333334</v>
      </c>
      <c r="H417" s="15">
        <v>43252</v>
      </c>
      <c r="I417">
        <v>200</v>
      </c>
      <c r="J417">
        <v>2000</v>
      </c>
      <c r="K417" s="28">
        <v>6</v>
      </c>
    </row>
    <row r="418" spans="1:12" ht="15" customHeight="1" x14ac:dyDescent="0.2">
      <c r="A418" s="28" t="s">
        <v>9</v>
      </c>
      <c r="B418" s="2" t="s">
        <v>29</v>
      </c>
      <c r="C418" s="30">
        <v>0.25</v>
      </c>
      <c r="D418" s="28">
        <f>YEAR(TableauFlitrage[[#This Row],[Date_d_adjudication]])</f>
        <v>2018</v>
      </c>
      <c r="E418" s="28">
        <f t="shared" si="6"/>
        <v>2</v>
      </c>
      <c r="F418" s="15">
        <v>43159</v>
      </c>
      <c r="G418" s="28">
        <v>98.833506388888893</v>
      </c>
      <c r="H418" s="15">
        <v>43252</v>
      </c>
      <c r="I418">
        <v>213.88200000000001</v>
      </c>
      <c r="J418">
        <v>850</v>
      </c>
      <c r="K418" s="28">
        <v>4.6147</v>
      </c>
    </row>
    <row r="419" spans="1:12" ht="15" customHeight="1" x14ac:dyDescent="0.2">
      <c r="A419" s="28" t="s">
        <v>7</v>
      </c>
      <c r="B419" s="2" t="s">
        <v>29</v>
      </c>
      <c r="C419" s="30">
        <v>0.5</v>
      </c>
      <c r="D419" s="28">
        <f>YEAR(TableauFlitrage[[#This Row],[Date_d_adjudication]])</f>
        <v>2018</v>
      </c>
      <c r="E419" s="28">
        <f t="shared" si="6"/>
        <v>3</v>
      </c>
      <c r="F419" s="15">
        <v>43166</v>
      </c>
      <c r="G419" s="28">
        <v>98.479127111111112</v>
      </c>
      <c r="H419" s="15">
        <v>43350</v>
      </c>
      <c r="I419">
        <v>176.11</v>
      </c>
      <c r="J419">
        <v>10000</v>
      </c>
      <c r="K419" s="28">
        <v>3.0083199999999999</v>
      </c>
    </row>
    <row r="420" spans="1:12" ht="15" customHeight="1" x14ac:dyDescent="0.2">
      <c r="A420" s="28" t="s">
        <v>9</v>
      </c>
      <c r="B420" s="2" t="s">
        <v>29</v>
      </c>
      <c r="C420" s="30">
        <v>0.25</v>
      </c>
      <c r="D420" s="28">
        <f>YEAR(TableauFlitrage[[#This Row],[Date_d_adjudication]])</f>
        <v>2018</v>
      </c>
      <c r="E420" s="28">
        <f t="shared" si="6"/>
        <v>3</v>
      </c>
      <c r="F420" s="15">
        <v>43166</v>
      </c>
      <c r="G420" s="28">
        <v>98.880555916666665</v>
      </c>
      <c r="H420" s="15">
        <v>43259</v>
      </c>
      <c r="I420">
        <v>201.02799999999999</v>
      </c>
      <c r="J420">
        <v>7000</v>
      </c>
      <c r="K420" s="28">
        <v>4.4285699999999997</v>
      </c>
    </row>
    <row r="421" spans="1:12" ht="15" customHeight="1" x14ac:dyDescent="0.2">
      <c r="A421" s="28" t="s">
        <v>9</v>
      </c>
      <c r="B421" s="2" t="s">
        <v>29</v>
      </c>
      <c r="C421" s="30">
        <v>0.5</v>
      </c>
      <c r="D421" s="28">
        <f>YEAR(TableauFlitrage[[#This Row],[Date_d_adjudication]])</f>
        <v>2018</v>
      </c>
      <c r="E421" s="28">
        <f t="shared" si="6"/>
        <v>3</v>
      </c>
      <c r="F421" s="15">
        <v>43173</v>
      </c>
      <c r="G421" s="28">
        <v>97.745656999999994</v>
      </c>
      <c r="H421" s="15">
        <v>43357</v>
      </c>
      <c r="I421">
        <v>170.744</v>
      </c>
      <c r="J421">
        <v>12500</v>
      </c>
      <c r="K421" s="28">
        <v>4.4591399999999997</v>
      </c>
    </row>
    <row r="422" spans="1:12" ht="15" customHeight="1" x14ac:dyDescent="0.2">
      <c r="A422" s="28" t="s">
        <v>7</v>
      </c>
      <c r="B422" s="2" t="s">
        <v>29</v>
      </c>
      <c r="C422" s="30">
        <v>0.5</v>
      </c>
      <c r="D422" s="28">
        <f>YEAR(TableauFlitrage[[#This Row],[Date_d_adjudication]])</f>
        <v>2018</v>
      </c>
      <c r="E422" s="28">
        <f t="shared" si="6"/>
        <v>3</v>
      </c>
      <c r="F422" s="15">
        <v>43173</v>
      </c>
      <c r="G422" s="28">
        <v>98.468743000000003</v>
      </c>
      <c r="H422" s="15">
        <v>43357</v>
      </c>
      <c r="I422">
        <v>180.57</v>
      </c>
      <c r="J422">
        <v>10000</v>
      </c>
      <c r="K422" s="28">
        <v>3.0288599999999999</v>
      </c>
    </row>
    <row r="423" spans="1:12" ht="15" customHeight="1" x14ac:dyDescent="0.2">
      <c r="A423" s="28" t="s">
        <v>11</v>
      </c>
      <c r="B423" s="2" t="s">
        <v>29</v>
      </c>
      <c r="C423" s="30">
        <v>1</v>
      </c>
      <c r="D423" s="28">
        <f>YEAR(TableauFlitrage[[#This Row],[Date_d_adjudication]])</f>
        <v>2018</v>
      </c>
      <c r="E423" s="28">
        <f t="shared" si="6"/>
        <v>3</v>
      </c>
      <c r="F423" s="15">
        <v>43173</v>
      </c>
      <c r="G423" s="28">
        <v>93.933333333333337</v>
      </c>
      <c r="H423" s="15">
        <v>43539</v>
      </c>
      <c r="I423">
        <v>100</v>
      </c>
      <c r="J423">
        <v>15000</v>
      </c>
      <c r="K423" s="28">
        <v>6</v>
      </c>
    </row>
    <row r="424" spans="1:12" ht="15" customHeight="1" x14ac:dyDescent="0.2">
      <c r="A424" s="28" t="s">
        <v>11</v>
      </c>
      <c r="B424" s="2" t="s">
        <v>29</v>
      </c>
      <c r="C424" s="30">
        <v>0.5</v>
      </c>
      <c r="D424" s="28">
        <f>YEAR(TableauFlitrage[[#This Row],[Date_d_adjudication]])</f>
        <v>2018</v>
      </c>
      <c r="E424" s="28">
        <f t="shared" si="6"/>
        <v>3</v>
      </c>
      <c r="F424" s="15">
        <v>43178</v>
      </c>
      <c r="G424" s="28">
        <v>97</v>
      </c>
      <c r="H424" s="15">
        <v>43360</v>
      </c>
      <c r="I424">
        <v>100</v>
      </c>
      <c r="J424">
        <v>31500</v>
      </c>
      <c r="K424" s="28">
        <v>6</v>
      </c>
    </row>
    <row r="425" spans="1:12" ht="15" customHeight="1" x14ac:dyDescent="0.2">
      <c r="A425" s="28" t="s">
        <v>9</v>
      </c>
      <c r="B425" s="2" t="s">
        <v>29</v>
      </c>
      <c r="C425" s="30">
        <v>1</v>
      </c>
      <c r="D425" s="28">
        <f>YEAR(TableauFlitrage[[#This Row],[Date_d_adjudication]])</f>
        <v>2018</v>
      </c>
      <c r="E425" s="28">
        <f t="shared" si="6"/>
        <v>3</v>
      </c>
      <c r="F425" s="15">
        <v>43180</v>
      </c>
      <c r="G425" s="28">
        <v>95.60335522222222</v>
      </c>
      <c r="H425" s="15">
        <v>43546</v>
      </c>
      <c r="I425">
        <v>146.93299999999999</v>
      </c>
      <c r="J425">
        <v>15000</v>
      </c>
      <c r="K425" s="28">
        <v>4.3483299999999998</v>
      </c>
    </row>
    <row r="426" spans="1:12" ht="15" customHeight="1" x14ac:dyDescent="0.2">
      <c r="A426" s="28" t="s">
        <v>10</v>
      </c>
      <c r="B426" s="2" t="s">
        <v>29</v>
      </c>
      <c r="C426" s="30">
        <v>1</v>
      </c>
      <c r="D426" s="28">
        <f>YEAR(TableauFlitrage[[#This Row],[Date_d_adjudication]])</f>
        <v>2018</v>
      </c>
      <c r="E426" s="28">
        <f t="shared" si="6"/>
        <v>3</v>
      </c>
      <c r="F426" s="15">
        <v>43180</v>
      </c>
      <c r="G426" s="28">
        <v>90.697777777777773</v>
      </c>
      <c r="H426" s="15">
        <v>43546</v>
      </c>
      <c r="I426">
        <v>50</v>
      </c>
      <c r="J426">
        <v>7500</v>
      </c>
      <c r="K426" s="28">
        <v>9.1999999999999993</v>
      </c>
    </row>
    <row r="427" spans="1:12" ht="15" customHeight="1" x14ac:dyDescent="0.2">
      <c r="A427" s="28" t="s">
        <v>9</v>
      </c>
      <c r="B427" t="s">
        <v>30</v>
      </c>
      <c r="C427" s="30" t="s">
        <v>53</v>
      </c>
      <c r="D427" s="28">
        <f>YEAR(TableauFlitrage[[#This Row],[Date_d_adjudication]])</f>
        <v>2018</v>
      </c>
      <c r="E427" s="28">
        <f t="shared" si="6"/>
        <v>3</v>
      </c>
      <c r="F427" s="15">
        <v>43180</v>
      </c>
      <c r="G427" s="28">
        <v>97.886700000000005</v>
      </c>
      <c r="H427" s="15">
        <v>43913</v>
      </c>
      <c r="I427">
        <v>100</v>
      </c>
      <c r="J427">
        <v>7500</v>
      </c>
      <c r="K427" s="28">
        <v>4.5</v>
      </c>
      <c r="L427">
        <v>4.6004224932894555</v>
      </c>
    </row>
    <row r="428" spans="1:12" ht="15" customHeight="1" x14ac:dyDescent="0.2">
      <c r="A428" s="28" t="s">
        <v>9</v>
      </c>
      <c r="B428" s="2" t="s">
        <v>29</v>
      </c>
      <c r="C428" s="30">
        <v>0.25</v>
      </c>
      <c r="D428" s="28">
        <f>YEAR(TableauFlitrage[[#This Row],[Date_d_adjudication]])</f>
        <v>2018</v>
      </c>
      <c r="E428" s="28">
        <f t="shared" si="6"/>
        <v>3</v>
      </c>
      <c r="F428" s="15">
        <v>43187</v>
      </c>
      <c r="G428" s="28">
        <v>98.910957499999995</v>
      </c>
      <c r="H428" s="15">
        <v>43280</v>
      </c>
      <c r="I428">
        <v>164.16669999999999</v>
      </c>
      <c r="J428">
        <v>12000</v>
      </c>
      <c r="K428" s="28">
        <v>4.3083</v>
      </c>
    </row>
    <row r="429" spans="1:12" ht="15" customHeight="1" x14ac:dyDescent="0.2">
      <c r="A429" s="28" t="s">
        <v>7</v>
      </c>
      <c r="B429" s="2" t="s">
        <v>29</v>
      </c>
      <c r="C429" s="30">
        <v>0.25</v>
      </c>
      <c r="D429" s="28">
        <f>YEAR(TableauFlitrage[[#This Row],[Date_d_adjudication]])</f>
        <v>2018</v>
      </c>
      <c r="E429" s="28">
        <f t="shared" si="6"/>
        <v>3</v>
      </c>
      <c r="F429" s="15">
        <v>43187</v>
      </c>
      <c r="G429" s="28">
        <v>99.275791666666663</v>
      </c>
      <c r="H429" s="15">
        <v>43280</v>
      </c>
      <c r="I429">
        <v>190</v>
      </c>
      <c r="J429">
        <v>5000</v>
      </c>
      <c r="K429" s="28">
        <v>2.8650000000000002</v>
      </c>
    </row>
    <row r="430" spans="1:12" ht="15" customHeight="1" x14ac:dyDescent="0.2">
      <c r="A430" s="28" t="s">
        <v>8</v>
      </c>
      <c r="B430" s="2" t="s">
        <v>29</v>
      </c>
      <c r="C430" s="30">
        <v>0.5</v>
      </c>
      <c r="D430" s="28">
        <f>YEAR(TableauFlitrage[[#This Row],[Date_d_adjudication]])</f>
        <v>2018</v>
      </c>
      <c r="E430" s="28">
        <f t="shared" si="6"/>
        <v>4</v>
      </c>
      <c r="F430" s="15">
        <v>43194</v>
      </c>
      <c r="G430" s="28">
        <v>96.890833333333333</v>
      </c>
      <c r="H430" s="15">
        <v>43378</v>
      </c>
      <c r="I430">
        <v>106</v>
      </c>
      <c r="J430">
        <v>5000</v>
      </c>
      <c r="K430" s="28">
        <v>6.15</v>
      </c>
    </row>
    <row r="431" spans="1:12" ht="15" customHeight="1" x14ac:dyDescent="0.2">
      <c r="A431" s="28" t="s">
        <v>9</v>
      </c>
      <c r="B431" s="2" t="s">
        <v>29</v>
      </c>
      <c r="C431" s="30">
        <v>0.5</v>
      </c>
      <c r="D431" s="28">
        <f>YEAR(TableauFlitrage[[#This Row],[Date_d_adjudication]])</f>
        <v>2018</v>
      </c>
      <c r="E431" s="28">
        <f t="shared" si="6"/>
        <v>4</v>
      </c>
      <c r="F431" s="15">
        <v>43194</v>
      </c>
      <c r="G431" s="28">
        <v>97.75745666666667</v>
      </c>
      <c r="H431" s="15">
        <v>43378</v>
      </c>
      <c r="I431">
        <v>189.45</v>
      </c>
      <c r="K431" s="28">
        <v>4.4358000000000004</v>
      </c>
    </row>
    <row r="432" spans="1:12" ht="15" customHeight="1" x14ac:dyDescent="0.2">
      <c r="A432" s="28" t="s">
        <v>9</v>
      </c>
      <c r="B432" t="s">
        <v>30</v>
      </c>
      <c r="C432" s="30" t="s">
        <v>53</v>
      </c>
      <c r="D432" s="28">
        <f>YEAR(TableauFlitrage[[#This Row],[Date_d_adjudication]])</f>
        <v>2018</v>
      </c>
      <c r="E432" s="28">
        <f t="shared" si="6"/>
        <v>4</v>
      </c>
      <c r="F432" s="15">
        <v>43194</v>
      </c>
      <c r="G432" s="28">
        <v>96.083200000000005</v>
      </c>
      <c r="H432" s="15">
        <v>43913</v>
      </c>
      <c r="I432">
        <v>27.3611</v>
      </c>
      <c r="J432">
        <v>4100</v>
      </c>
      <c r="K432" s="28">
        <v>4.5</v>
      </c>
      <c r="L432">
        <v>4.6895348152973177</v>
      </c>
    </row>
    <row r="433" spans="1:11" ht="15" customHeight="1" x14ac:dyDescent="0.2">
      <c r="A433" s="28" t="s">
        <v>9</v>
      </c>
      <c r="B433" s="2" t="s">
        <v>29</v>
      </c>
      <c r="C433" s="30">
        <v>0.25</v>
      </c>
      <c r="D433" s="28">
        <f>YEAR(TableauFlitrage[[#This Row],[Date_d_adjudication]])</f>
        <v>2018</v>
      </c>
      <c r="E433" s="28">
        <f t="shared" si="6"/>
        <v>4</v>
      </c>
      <c r="F433" s="15">
        <v>43201</v>
      </c>
      <c r="G433" s="28">
        <v>98.930775277777784</v>
      </c>
      <c r="H433" s="15">
        <v>43294</v>
      </c>
      <c r="I433">
        <v>168.22</v>
      </c>
      <c r="K433" s="28">
        <v>4.2298999999999998</v>
      </c>
    </row>
    <row r="434" spans="1:11" ht="15" customHeight="1" x14ac:dyDescent="0.2">
      <c r="A434" s="28" t="s">
        <v>7</v>
      </c>
      <c r="B434" s="2" t="s">
        <v>29</v>
      </c>
      <c r="C434" s="30">
        <v>0.5</v>
      </c>
      <c r="D434" s="28">
        <f>YEAR(TableauFlitrage[[#This Row],[Date_d_adjudication]])</f>
        <v>2018</v>
      </c>
      <c r="E434" s="28">
        <f t="shared" si="6"/>
        <v>4</v>
      </c>
      <c r="F434" s="15">
        <v>43201</v>
      </c>
      <c r="G434" s="28">
        <v>98.483333333333334</v>
      </c>
      <c r="H434" s="15">
        <v>43385</v>
      </c>
      <c r="I434">
        <v>220</v>
      </c>
      <c r="K434" s="28">
        <v>3</v>
      </c>
    </row>
    <row r="435" spans="1:11" ht="15" customHeight="1" x14ac:dyDescent="0.2">
      <c r="A435" s="28" t="s">
        <v>10</v>
      </c>
      <c r="B435" s="2" t="s">
        <v>29</v>
      </c>
      <c r="C435" s="30">
        <v>1</v>
      </c>
      <c r="D435" s="28">
        <f>YEAR(TableauFlitrage[[#This Row],[Date_d_adjudication]])</f>
        <v>2018</v>
      </c>
      <c r="E435" s="28">
        <f t="shared" si="6"/>
        <v>4</v>
      </c>
      <c r="F435" s="15">
        <v>43201</v>
      </c>
      <c r="G435" s="28">
        <v>90.596666666666664</v>
      </c>
      <c r="H435" s="15">
        <v>43567</v>
      </c>
      <c r="I435">
        <v>113.33329999999999</v>
      </c>
      <c r="K435" s="28">
        <v>9.3000000000000007</v>
      </c>
    </row>
    <row r="436" spans="1:11" ht="15" customHeight="1" x14ac:dyDescent="0.2">
      <c r="A436" s="28" t="s">
        <v>7</v>
      </c>
      <c r="B436" s="2" t="s">
        <v>29</v>
      </c>
      <c r="C436" s="30">
        <v>1</v>
      </c>
      <c r="D436" s="28">
        <f>YEAR(TableauFlitrage[[#This Row],[Date_d_adjudication]])</f>
        <v>2018</v>
      </c>
      <c r="E436" s="28">
        <f t="shared" si="6"/>
        <v>4</v>
      </c>
      <c r="F436" s="15">
        <v>43208</v>
      </c>
      <c r="G436" s="28">
        <v>96.562222222222218</v>
      </c>
      <c r="H436" s="15">
        <v>43574</v>
      </c>
      <c r="I436">
        <v>85.714299999999994</v>
      </c>
      <c r="J436">
        <v>7000</v>
      </c>
      <c r="K436" s="28">
        <v>3.4</v>
      </c>
    </row>
    <row r="437" spans="1:11" ht="15" customHeight="1" x14ac:dyDescent="0.2">
      <c r="A437" s="28" t="s">
        <v>9</v>
      </c>
      <c r="B437" s="2" t="s">
        <v>29</v>
      </c>
      <c r="C437" s="30">
        <v>0.5</v>
      </c>
      <c r="D437" s="28">
        <f>YEAR(TableauFlitrage[[#This Row],[Date_d_adjudication]])</f>
        <v>2018</v>
      </c>
      <c r="E437" s="28">
        <f t="shared" si="6"/>
        <v>4</v>
      </c>
      <c r="F437" s="15">
        <v>43208</v>
      </c>
      <c r="G437" s="28">
        <v>97.806293333333329</v>
      </c>
      <c r="H437" s="15">
        <v>43392</v>
      </c>
      <c r="I437">
        <v>130.83330000000001</v>
      </c>
      <c r="K437" s="28">
        <v>4.3391999999999999</v>
      </c>
    </row>
    <row r="438" spans="1:11" ht="15" customHeight="1" x14ac:dyDescent="0.2">
      <c r="A438" s="28" t="s">
        <v>9</v>
      </c>
      <c r="B438" s="2" t="s">
        <v>29</v>
      </c>
      <c r="C438" s="30">
        <v>0.25</v>
      </c>
      <c r="D438" s="28">
        <f>YEAR(TableauFlitrage[[#This Row],[Date_d_adjudication]])</f>
        <v>2018</v>
      </c>
      <c r="E438" s="28">
        <f t="shared" si="6"/>
        <v>4</v>
      </c>
      <c r="F438" s="15">
        <v>43215</v>
      </c>
      <c r="G438" s="28">
        <v>98.928373888888885</v>
      </c>
      <c r="H438" s="15">
        <v>43308</v>
      </c>
      <c r="I438">
        <v>124.375</v>
      </c>
      <c r="K438" s="28">
        <v>4.2393999999999998</v>
      </c>
    </row>
    <row r="439" spans="1:11" ht="15" customHeight="1" x14ac:dyDescent="0.2">
      <c r="A439" s="28" t="s">
        <v>7</v>
      </c>
      <c r="B439" s="2" t="s">
        <v>29</v>
      </c>
      <c r="C439" s="30">
        <v>0.25</v>
      </c>
      <c r="D439" s="28">
        <f>YEAR(TableauFlitrage[[#This Row],[Date_d_adjudication]])</f>
        <v>2018</v>
      </c>
      <c r="E439" s="28">
        <f t="shared" si="6"/>
        <v>4</v>
      </c>
      <c r="F439" s="15">
        <v>43215</v>
      </c>
      <c r="G439" s="28">
        <v>99.266034444444443</v>
      </c>
      <c r="H439" s="15">
        <v>43308</v>
      </c>
      <c r="I439">
        <v>150.1429</v>
      </c>
      <c r="K439" s="28">
        <v>2.9036</v>
      </c>
    </row>
    <row r="440" spans="1:11" ht="15" customHeight="1" x14ac:dyDescent="0.2">
      <c r="A440" s="28" t="s">
        <v>8</v>
      </c>
      <c r="B440" s="2" t="s">
        <v>29</v>
      </c>
      <c r="C440" s="30">
        <v>0.25</v>
      </c>
      <c r="D440" s="28">
        <f>YEAR(TableauFlitrage[[#This Row],[Date_d_adjudication]])</f>
        <v>2018</v>
      </c>
      <c r="E440" s="28">
        <f t="shared" si="6"/>
        <v>4</v>
      </c>
      <c r="F440" s="15">
        <v>43215</v>
      </c>
      <c r="G440" s="28">
        <v>98.492787222222219</v>
      </c>
      <c r="H440" s="15">
        <v>43308</v>
      </c>
      <c r="I440">
        <v>83.5</v>
      </c>
      <c r="K440" s="28">
        <v>5.9626000000000001</v>
      </c>
    </row>
    <row r="441" spans="1:11" ht="15" customHeight="1" x14ac:dyDescent="0.2">
      <c r="A441" s="28" t="s">
        <v>14</v>
      </c>
      <c r="B441" s="2" t="s">
        <v>29</v>
      </c>
      <c r="C441" s="30">
        <v>0.5</v>
      </c>
      <c r="D441" s="28">
        <f>YEAR(TableauFlitrage[[#This Row],[Date_d_adjudication]])</f>
        <v>2018</v>
      </c>
      <c r="E441" s="28">
        <f t="shared" si="6"/>
        <v>4</v>
      </c>
      <c r="F441" s="15">
        <v>43215</v>
      </c>
      <c r="G441" s="28">
        <v>97.311354444444447</v>
      </c>
      <c r="H441" s="15">
        <v>43399</v>
      </c>
      <c r="I441">
        <v>100</v>
      </c>
      <c r="K441" s="28">
        <v>5.3182</v>
      </c>
    </row>
    <row r="442" spans="1:11" ht="15" customHeight="1" x14ac:dyDescent="0.2">
      <c r="A442" s="28" t="s">
        <v>7</v>
      </c>
      <c r="B442" s="2" t="s">
        <v>29</v>
      </c>
      <c r="C442" s="30">
        <v>0.5</v>
      </c>
      <c r="D442" s="28">
        <f>YEAR(TableauFlitrage[[#This Row],[Date_d_adjudication]])</f>
        <v>2018</v>
      </c>
      <c r="E442" s="28">
        <f t="shared" si="6"/>
        <v>5</v>
      </c>
      <c r="F442" s="15">
        <v>43222</v>
      </c>
      <c r="G442" s="28">
        <v>98.434597777777782</v>
      </c>
      <c r="H442" s="15">
        <v>43406</v>
      </c>
      <c r="I442">
        <v>164.28569999999999</v>
      </c>
      <c r="J442">
        <v>7000</v>
      </c>
      <c r="K442" s="28">
        <v>3.0964</v>
      </c>
    </row>
    <row r="443" spans="1:11" ht="15" customHeight="1" x14ac:dyDescent="0.2">
      <c r="A443" s="28" t="s">
        <v>7</v>
      </c>
      <c r="B443" s="2" t="s">
        <v>29</v>
      </c>
      <c r="C443" s="30">
        <v>0.25</v>
      </c>
      <c r="D443" s="28">
        <f>YEAR(TableauFlitrage[[#This Row],[Date_d_adjudication]])</f>
        <v>2018</v>
      </c>
      <c r="E443" s="28">
        <f t="shared" si="6"/>
        <v>5</v>
      </c>
      <c r="F443" s="15">
        <v>43229</v>
      </c>
      <c r="G443" s="28">
        <v>99.242576666666665</v>
      </c>
      <c r="H443" s="15">
        <v>43322</v>
      </c>
      <c r="I443">
        <v>235.71430000000001</v>
      </c>
      <c r="J443">
        <v>7000</v>
      </c>
      <c r="K443" s="28">
        <v>2.9964</v>
      </c>
    </row>
    <row r="444" spans="1:11" ht="15" customHeight="1" x14ac:dyDescent="0.2">
      <c r="A444" s="28" t="s">
        <v>9</v>
      </c>
      <c r="B444" s="2" t="s">
        <v>29</v>
      </c>
      <c r="C444" s="30">
        <v>0.25</v>
      </c>
      <c r="D444" s="28">
        <f>YEAR(TableauFlitrage[[#This Row],[Date_d_adjudication]])</f>
        <v>2018</v>
      </c>
      <c r="E444" s="28">
        <f t="shared" si="6"/>
        <v>5</v>
      </c>
      <c r="F444" s="15">
        <v>43229</v>
      </c>
      <c r="G444" s="28">
        <v>98.980547222222228</v>
      </c>
      <c r="H444" s="15">
        <v>43322</v>
      </c>
      <c r="I444">
        <v>246.66669999999999</v>
      </c>
      <c r="J444">
        <v>15000</v>
      </c>
      <c r="K444" s="28">
        <v>4.0330000000000004</v>
      </c>
    </row>
    <row r="445" spans="1:11" ht="15" customHeight="1" x14ac:dyDescent="0.2">
      <c r="A445" s="28" t="s">
        <v>9</v>
      </c>
      <c r="B445" s="2" t="s">
        <v>29</v>
      </c>
      <c r="C445" s="30">
        <v>0.5</v>
      </c>
      <c r="D445" s="28">
        <f>YEAR(TableauFlitrage[[#This Row],[Date_d_adjudication]])</f>
        <v>2018</v>
      </c>
      <c r="E445" s="28">
        <f t="shared" ref="E445:E508" si="7">MONTH(F445)</f>
        <v>5</v>
      </c>
      <c r="F445" s="15">
        <v>43236</v>
      </c>
      <c r="G445" s="28">
        <v>97.964279444444443</v>
      </c>
      <c r="H445" s="15">
        <v>43420</v>
      </c>
      <c r="I445">
        <v>247.33330000000001</v>
      </c>
      <c r="K445" s="28">
        <v>4.0266999999999999</v>
      </c>
    </row>
    <row r="446" spans="1:11" ht="15" customHeight="1" x14ac:dyDescent="0.2">
      <c r="A446" s="28" t="s">
        <v>7</v>
      </c>
      <c r="B446" s="2" t="s">
        <v>29</v>
      </c>
      <c r="C446" s="30">
        <v>0.25</v>
      </c>
      <c r="D446" s="28">
        <f>YEAR(TableauFlitrage[[#This Row],[Date_d_adjudication]])</f>
        <v>2018</v>
      </c>
      <c r="E446" s="28">
        <f t="shared" si="7"/>
        <v>5</v>
      </c>
      <c r="F446" s="15">
        <v>43236</v>
      </c>
      <c r="G446" s="28">
        <v>99.223618333333334</v>
      </c>
      <c r="H446" s="15">
        <v>43329</v>
      </c>
      <c r="I446">
        <v>142.8571</v>
      </c>
      <c r="J446">
        <v>7000</v>
      </c>
      <c r="K446" s="28">
        <v>3.0714000000000001</v>
      </c>
    </row>
    <row r="447" spans="1:11" ht="15" customHeight="1" x14ac:dyDescent="0.2">
      <c r="A447" s="28" t="s">
        <v>8</v>
      </c>
      <c r="B447" s="2" t="s">
        <v>29</v>
      </c>
      <c r="C447" s="30">
        <v>0.5</v>
      </c>
      <c r="D447" s="28">
        <f>YEAR(TableauFlitrage[[#This Row],[Date_d_adjudication]])</f>
        <v>2018</v>
      </c>
      <c r="E447" s="28">
        <f t="shared" si="7"/>
        <v>5</v>
      </c>
      <c r="F447" s="15">
        <v>43236</v>
      </c>
      <c r="G447" s="28">
        <v>96.825717777777783</v>
      </c>
      <c r="H447" s="15">
        <v>43420</v>
      </c>
      <c r="I447">
        <v>52</v>
      </c>
      <c r="J447">
        <v>5000</v>
      </c>
      <c r="K447" s="28">
        <v>6.2788000000000004</v>
      </c>
    </row>
    <row r="448" spans="1:11" ht="15" customHeight="1" x14ac:dyDescent="0.2">
      <c r="A448" s="28" t="s">
        <v>10</v>
      </c>
      <c r="B448" s="2" t="s">
        <v>29</v>
      </c>
      <c r="C448" s="30">
        <v>1</v>
      </c>
      <c r="D448" s="28">
        <f>YEAR(TableauFlitrage[[#This Row],[Date_d_adjudication]])</f>
        <v>2018</v>
      </c>
      <c r="E448" s="28">
        <f t="shared" si="7"/>
        <v>5</v>
      </c>
      <c r="F448" s="15">
        <v>43236</v>
      </c>
      <c r="G448" s="28">
        <v>94.135555555555555</v>
      </c>
      <c r="H448" s="15">
        <v>43602</v>
      </c>
      <c r="I448">
        <v>33.333329999999997</v>
      </c>
      <c r="J448">
        <v>15000</v>
      </c>
      <c r="K448" s="28">
        <v>5.8</v>
      </c>
    </row>
    <row r="449" spans="1:12" ht="15" customHeight="1" x14ac:dyDescent="0.2">
      <c r="A449" s="28" t="s">
        <v>11</v>
      </c>
      <c r="B449" s="2" t="s">
        <v>29</v>
      </c>
      <c r="C449" s="30">
        <v>0.5</v>
      </c>
      <c r="D449" s="28">
        <f>YEAR(TableauFlitrage[[#This Row],[Date_d_adjudication]])</f>
        <v>2018</v>
      </c>
      <c r="E449" s="28">
        <f t="shared" si="7"/>
        <v>5</v>
      </c>
      <c r="F449" s="15">
        <v>43236</v>
      </c>
      <c r="G449" s="28">
        <v>97.168888888888887</v>
      </c>
      <c r="H449" s="15">
        <v>43420</v>
      </c>
      <c r="I449">
        <v>100</v>
      </c>
      <c r="J449">
        <v>22500</v>
      </c>
      <c r="K449" s="28">
        <v>5.6</v>
      </c>
    </row>
    <row r="450" spans="1:12" ht="15" customHeight="1" x14ac:dyDescent="0.2">
      <c r="A450" s="28" t="s">
        <v>11</v>
      </c>
      <c r="B450" s="2" t="s">
        <v>29</v>
      </c>
      <c r="C450" s="30">
        <v>0.5</v>
      </c>
      <c r="D450" s="28">
        <f>YEAR(TableauFlitrage[[#This Row],[Date_d_adjudication]])</f>
        <v>2018</v>
      </c>
      <c r="E450" s="28">
        <f t="shared" si="7"/>
        <v>5</v>
      </c>
      <c r="F450" s="15">
        <v>43243</v>
      </c>
      <c r="G450" s="28">
        <v>96.966666666666669</v>
      </c>
      <c r="H450" s="15">
        <v>43427</v>
      </c>
      <c r="I450">
        <v>99.128500000000003</v>
      </c>
      <c r="J450">
        <v>9180</v>
      </c>
      <c r="K450" s="28">
        <v>6</v>
      </c>
    </row>
    <row r="451" spans="1:12" ht="15" customHeight="1" x14ac:dyDescent="0.2">
      <c r="A451" s="28" t="s">
        <v>7</v>
      </c>
      <c r="B451" s="2" t="s">
        <v>29</v>
      </c>
      <c r="C451" s="30">
        <v>0.25</v>
      </c>
      <c r="D451" s="28">
        <f>YEAR(TableauFlitrage[[#This Row],[Date_d_adjudication]])</f>
        <v>2018</v>
      </c>
      <c r="E451" s="28">
        <f t="shared" si="7"/>
        <v>5</v>
      </c>
      <c r="F451" s="15">
        <v>43243</v>
      </c>
      <c r="G451" s="28">
        <v>99.246191388888889</v>
      </c>
      <c r="H451" s="15">
        <v>43336</v>
      </c>
      <c r="I451">
        <v>215.34289999999999</v>
      </c>
      <c r="J451">
        <v>7000</v>
      </c>
      <c r="K451" s="28">
        <v>2.9821</v>
      </c>
    </row>
    <row r="452" spans="1:12" ht="15" customHeight="1" x14ac:dyDescent="0.2">
      <c r="A452" s="28" t="s">
        <v>9</v>
      </c>
      <c r="B452" s="2" t="s">
        <v>29</v>
      </c>
      <c r="C452" s="30">
        <v>0.25</v>
      </c>
      <c r="D452" s="28">
        <f>YEAR(TableauFlitrage[[#This Row],[Date_d_adjudication]])</f>
        <v>2018</v>
      </c>
      <c r="E452" s="28">
        <f t="shared" si="7"/>
        <v>5</v>
      </c>
      <c r="F452" s="15">
        <v>43243</v>
      </c>
      <c r="G452" s="28">
        <v>98.983327777777774</v>
      </c>
      <c r="H452" s="15">
        <v>43336</v>
      </c>
      <c r="I452">
        <v>197.6</v>
      </c>
      <c r="J452">
        <v>12500</v>
      </c>
      <c r="K452" s="28">
        <v>4.0220000000000002</v>
      </c>
    </row>
    <row r="453" spans="1:12" ht="15" customHeight="1" x14ac:dyDescent="0.2">
      <c r="A453" s="28" t="s">
        <v>9</v>
      </c>
      <c r="B453" t="s">
        <v>30</v>
      </c>
      <c r="C453" s="30" t="s">
        <v>53</v>
      </c>
      <c r="D453" s="28">
        <f>YEAR(TableauFlitrage[[#This Row],[Date_d_adjudication]])</f>
        <v>2018</v>
      </c>
      <c r="E453" s="28">
        <f t="shared" si="7"/>
        <v>5</v>
      </c>
      <c r="F453" s="15">
        <v>43243</v>
      </c>
      <c r="G453" s="28">
        <v>99.974599999999995</v>
      </c>
      <c r="H453" s="15">
        <v>43976</v>
      </c>
      <c r="I453">
        <v>78.424999999999997</v>
      </c>
      <c r="J453">
        <v>27449</v>
      </c>
      <c r="K453" s="28">
        <v>5</v>
      </c>
      <c r="L453">
        <v>5.0013066108216551</v>
      </c>
    </row>
    <row r="454" spans="1:12" ht="15" customHeight="1" x14ac:dyDescent="0.2">
      <c r="A454" s="28" t="s">
        <v>9</v>
      </c>
      <c r="B454" s="2" t="s">
        <v>29</v>
      </c>
      <c r="C454" s="30">
        <v>0.25</v>
      </c>
      <c r="D454" s="28">
        <f>YEAR(TableauFlitrage[[#This Row],[Date_d_adjudication]])</f>
        <v>2018</v>
      </c>
      <c r="E454" s="28">
        <f t="shared" si="7"/>
        <v>5</v>
      </c>
      <c r="F454" s="15">
        <v>43250</v>
      </c>
      <c r="G454" s="28">
        <v>98.99225083333333</v>
      </c>
      <c r="H454" s="15">
        <v>43343</v>
      </c>
      <c r="I454">
        <v>206.7867</v>
      </c>
      <c r="J454">
        <v>15000</v>
      </c>
      <c r="K454" s="28">
        <v>3.9866999999999999</v>
      </c>
    </row>
    <row r="455" spans="1:12" ht="15" customHeight="1" x14ac:dyDescent="0.2">
      <c r="A455" s="28" t="s">
        <v>7</v>
      </c>
      <c r="B455" s="2" t="s">
        <v>29</v>
      </c>
      <c r="C455" s="30">
        <v>0.25</v>
      </c>
      <c r="D455" s="28">
        <f>YEAR(TableauFlitrage[[#This Row],[Date_d_adjudication]])</f>
        <v>2018</v>
      </c>
      <c r="E455" s="28">
        <f t="shared" si="7"/>
        <v>6</v>
      </c>
      <c r="F455" s="15">
        <v>43257</v>
      </c>
      <c r="G455" s="28">
        <v>99.264416666666662</v>
      </c>
      <c r="H455" s="15">
        <v>43350</v>
      </c>
      <c r="I455">
        <v>370.1</v>
      </c>
      <c r="J455">
        <v>10000</v>
      </c>
      <c r="K455" s="28">
        <v>2.91</v>
      </c>
    </row>
    <row r="456" spans="1:12" ht="15" customHeight="1" x14ac:dyDescent="0.2">
      <c r="A456" s="28" t="s">
        <v>8</v>
      </c>
      <c r="B456" s="2" t="s">
        <v>29</v>
      </c>
      <c r="C456" s="30">
        <v>0.25</v>
      </c>
      <c r="D456" s="28">
        <f>YEAR(TableauFlitrage[[#This Row],[Date_d_adjudication]])</f>
        <v>2018</v>
      </c>
      <c r="E456" s="28">
        <f t="shared" si="7"/>
        <v>6</v>
      </c>
      <c r="F456" s="15">
        <v>43257</v>
      </c>
      <c r="G456" s="28">
        <v>96.761259444444448</v>
      </c>
      <c r="H456" s="15">
        <v>43441</v>
      </c>
      <c r="I456">
        <v>132.5</v>
      </c>
      <c r="J456">
        <v>4000</v>
      </c>
      <c r="K456" s="28">
        <v>6.4062999999999999</v>
      </c>
    </row>
    <row r="457" spans="1:12" ht="15" customHeight="1" x14ac:dyDescent="0.2">
      <c r="A457" s="28" t="s">
        <v>9</v>
      </c>
      <c r="B457" s="2" t="s">
        <v>29</v>
      </c>
      <c r="C457" s="30">
        <v>0.25</v>
      </c>
      <c r="D457" s="28">
        <f>YEAR(TableauFlitrage[[#This Row],[Date_d_adjudication]])</f>
        <v>2018</v>
      </c>
      <c r="E457" s="28">
        <f t="shared" si="7"/>
        <v>6</v>
      </c>
      <c r="F457" s="15">
        <v>43257</v>
      </c>
      <c r="G457" s="28">
        <v>99.001527777777781</v>
      </c>
      <c r="H457" s="15">
        <v>43350</v>
      </c>
      <c r="I457">
        <v>277.33</v>
      </c>
      <c r="J457">
        <v>15000</v>
      </c>
      <c r="K457" s="28">
        <v>3.95</v>
      </c>
    </row>
    <row r="458" spans="1:12" ht="15" customHeight="1" x14ac:dyDescent="0.2">
      <c r="A458" s="28" t="s">
        <v>9</v>
      </c>
      <c r="B458" s="2" t="s">
        <v>29</v>
      </c>
      <c r="C458" s="30">
        <v>0.25</v>
      </c>
      <c r="D458" s="28">
        <f>YEAR(TableauFlitrage[[#This Row],[Date_d_adjudication]])</f>
        <v>2018</v>
      </c>
      <c r="E458" s="28">
        <f t="shared" si="7"/>
        <v>6</v>
      </c>
      <c r="F458" s="15">
        <v>43264</v>
      </c>
      <c r="G458" s="28">
        <v>97.987888888888889</v>
      </c>
      <c r="H458" s="15">
        <v>43448</v>
      </c>
      <c r="I458">
        <v>338.33</v>
      </c>
      <c r="J458">
        <v>12000</v>
      </c>
      <c r="K458" s="28">
        <v>3.98</v>
      </c>
    </row>
    <row r="459" spans="1:12" ht="15" customHeight="1" x14ac:dyDescent="0.2">
      <c r="A459" s="28" t="s">
        <v>10</v>
      </c>
      <c r="B459" s="2" t="s">
        <v>29</v>
      </c>
      <c r="C459" s="30">
        <v>0.25</v>
      </c>
      <c r="D459" s="28">
        <f>YEAR(TableauFlitrage[[#This Row],[Date_d_adjudication]])</f>
        <v>2018</v>
      </c>
      <c r="E459" s="28">
        <f t="shared" si="7"/>
        <v>6</v>
      </c>
      <c r="F459" s="15">
        <v>43264</v>
      </c>
      <c r="G459" s="28">
        <v>91.961666666666673</v>
      </c>
      <c r="H459" s="15">
        <v>43630</v>
      </c>
      <c r="I459">
        <v>20</v>
      </c>
      <c r="J459">
        <v>15000</v>
      </c>
      <c r="K459" s="28">
        <v>7.95</v>
      </c>
    </row>
    <row r="460" spans="1:12" ht="15" customHeight="1" x14ac:dyDescent="0.2">
      <c r="A460" s="28" t="s">
        <v>11</v>
      </c>
      <c r="B460" s="2" t="s">
        <v>29</v>
      </c>
      <c r="C460" s="30">
        <v>0.25</v>
      </c>
      <c r="D460" s="28">
        <f>YEAR(TableauFlitrage[[#This Row],[Date_d_adjudication]])</f>
        <v>2018</v>
      </c>
      <c r="E460" s="28">
        <f t="shared" si="7"/>
        <v>6</v>
      </c>
      <c r="F460" s="15">
        <v>43264</v>
      </c>
      <c r="G460" s="28">
        <v>96.734111111111105</v>
      </c>
      <c r="H460" s="15">
        <v>43448</v>
      </c>
      <c r="I460">
        <v>99.62</v>
      </c>
      <c r="J460">
        <v>13000</v>
      </c>
      <c r="K460" s="28">
        <v>6.46</v>
      </c>
    </row>
    <row r="461" spans="1:12" ht="15" customHeight="1" x14ac:dyDescent="0.2">
      <c r="A461" s="28" t="s">
        <v>9</v>
      </c>
      <c r="B461" s="2" t="s">
        <v>29</v>
      </c>
      <c r="C461" s="30">
        <v>0.25</v>
      </c>
      <c r="D461" s="28">
        <f>YEAR(TableauFlitrage[[#This Row],[Date_d_adjudication]])</f>
        <v>2018</v>
      </c>
      <c r="E461" s="28">
        <f t="shared" si="7"/>
        <v>6</v>
      </c>
      <c r="F461" s="15">
        <v>43271</v>
      </c>
      <c r="G461" s="28">
        <v>98.174944444444449</v>
      </c>
      <c r="H461" s="15">
        <v>43455</v>
      </c>
      <c r="I461">
        <v>242.17</v>
      </c>
      <c r="J461">
        <v>12000</v>
      </c>
      <c r="K461" s="28">
        <v>3.61</v>
      </c>
    </row>
    <row r="462" spans="1:12" ht="15" customHeight="1" x14ac:dyDescent="0.2">
      <c r="A462" s="28" t="s">
        <v>8</v>
      </c>
      <c r="B462" s="2" t="s">
        <v>29</v>
      </c>
      <c r="C462" s="30">
        <v>0.25</v>
      </c>
      <c r="D462" s="28">
        <f>YEAR(TableauFlitrage[[#This Row],[Date_d_adjudication]])</f>
        <v>2018</v>
      </c>
      <c r="E462" s="28">
        <f t="shared" si="7"/>
        <v>6</v>
      </c>
      <c r="F462" s="15">
        <v>43271</v>
      </c>
      <c r="G462" s="28">
        <v>96.76444444444445</v>
      </c>
      <c r="H462" s="15">
        <v>43455</v>
      </c>
      <c r="I462">
        <v>43.16</v>
      </c>
      <c r="J462">
        <v>5000</v>
      </c>
      <c r="K462" s="28">
        <v>6.4</v>
      </c>
    </row>
    <row r="463" spans="1:12" ht="15" customHeight="1" x14ac:dyDescent="0.2">
      <c r="A463" s="28" t="s">
        <v>7</v>
      </c>
      <c r="B463" s="2" t="s">
        <v>29</v>
      </c>
      <c r="C463" s="30">
        <v>0.25</v>
      </c>
      <c r="D463" s="28">
        <f>YEAR(TableauFlitrage[[#This Row],[Date_d_adjudication]])</f>
        <v>2018</v>
      </c>
      <c r="E463" s="28">
        <f t="shared" si="7"/>
        <v>6</v>
      </c>
      <c r="F463" s="15">
        <v>43271</v>
      </c>
      <c r="G463" s="28">
        <v>98.635000000000005</v>
      </c>
      <c r="H463" s="15">
        <v>43455</v>
      </c>
      <c r="I463">
        <v>378</v>
      </c>
      <c r="J463">
        <v>7000</v>
      </c>
      <c r="K463" s="28">
        <v>2.7</v>
      </c>
    </row>
    <row r="464" spans="1:12" ht="15" customHeight="1" x14ac:dyDescent="0.2">
      <c r="A464" s="28" t="s">
        <v>14</v>
      </c>
      <c r="B464" s="2" t="s">
        <v>29</v>
      </c>
      <c r="C464" s="30">
        <v>0.25</v>
      </c>
      <c r="D464" s="28">
        <f>YEAR(TableauFlitrage[[#This Row],[Date_d_adjudication]])</f>
        <v>2018</v>
      </c>
      <c r="E464" s="28">
        <f t="shared" si="7"/>
        <v>6</v>
      </c>
      <c r="F464" s="15">
        <v>43271</v>
      </c>
      <c r="G464" s="28">
        <v>97.40902777777778</v>
      </c>
      <c r="H464" s="15">
        <v>43455</v>
      </c>
      <c r="I464">
        <v>100</v>
      </c>
      <c r="J464">
        <v>4000</v>
      </c>
      <c r="K464" s="28">
        <v>5.125</v>
      </c>
    </row>
    <row r="465" spans="1:12" ht="15" customHeight="1" x14ac:dyDescent="0.2">
      <c r="A465" s="28" t="s">
        <v>11</v>
      </c>
      <c r="B465" s="2" t="s">
        <v>29</v>
      </c>
      <c r="C465" s="30">
        <v>0.25</v>
      </c>
      <c r="D465" s="28">
        <f>YEAR(TableauFlitrage[[#This Row],[Date_d_adjudication]])</f>
        <v>2018</v>
      </c>
      <c r="E465" s="28">
        <f t="shared" si="7"/>
        <v>6</v>
      </c>
      <c r="F465" s="15">
        <v>43276</v>
      </c>
      <c r="G465" s="28">
        <v>93.966666666666669</v>
      </c>
      <c r="H465" s="15">
        <v>43640</v>
      </c>
      <c r="I465">
        <v>99.92</v>
      </c>
      <c r="J465">
        <v>36141</v>
      </c>
      <c r="K465" s="28">
        <v>6</v>
      </c>
    </row>
    <row r="466" spans="1:12" ht="15" customHeight="1" x14ac:dyDescent="0.2">
      <c r="A466" s="28" t="s">
        <v>7</v>
      </c>
      <c r="B466" s="2" t="s">
        <v>29</v>
      </c>
      <c r="C466" s="30">
        <v>0.25</v>
      </c>
      <c r="D466" s="28">
        <f>YEAR(TableauFlitrage[[#This Row],[Date_d_adjudication]])</f>
        <v>2018</v>
      </c>
      <c r="E466" s="28">
        <f t="shared" si="7"/>
        <v>6</v>
      </c>
      <c r="F466" s="15">
        <v>43278</v>
      </c>
      <c r="G466" s="28">
        <v>98.579388888888886</v>
      </c>
      <c r="H466" s="15">
        <v>43462</v>
      </c>
      <c r="I466">
        <v>232.14</v>
      </c>
      <c r="J466">
        <v>7000</v>
      </c>
      <c r="K466" s="28">
        <v>2.81</v>
      </c>
    </row>
    <row r="467" spans="1:12" ht="15" customHeight="1" x14ac:dyDescent="0.2">
      <c r="A467" s="28" t="s">
        <v>9</v>
      </c>
      <c r="B467" s="2" t="s">
        <v>29</v>
      </c>
      <c r="C467" s="30">
        <v>0.25</v>
      </c>
      <c r="D467" s="28">
        <f>YEAR(TableauFlitrage[[#This Row],[Date_d_adjudication]])</f>
        <v>2018</v>
      </c>
      <c r="E467" s="28">
        <f t="shared" si="7"/>
        <v>6</v>
      </c>
      <c r="F467" s="15">
        <v>43278</v>
      </c>
      <c r="G467" s="28">
        <v>99.047027777777771</v>
      </c>
      <c r="H467" s="15">
        <v>43371</v>
      </c>
      <c r="I467">
        <v>275</v>
      </c>
      <c r="J467">
        <v>12000</v>
      </c>
      <c r="K467" s="28">
        <v>3.77</v>
      </c>
    </row>
    <row r="468" spans="1:12" ht="15" customHeight="1" x14ac:dyDescent="0.2">
      <c r="A468" s="28" t="s">
        <v>9</v>
      </c>
      <c r="B468" s="2" t="s">
        <v>29</v>
      </c>
      <c r="C468" s="30">
        <v>0.5</v>
      </c>
      <c r="D468" s="28">
        <f>YEAR(TableauFlitrage[[#This Row],[Date_d_adjudication]])</f>
        <v>2018</v>
      </c>
      <c r="E468" s="28">
        <f t="shared" si="7"/>
        <v>7</v>
      </c>
      <c r="F468" s="15">
        <v>43285</v>
      </c>
      <c r="G468" s="28">
        <v>98.155531111111117</v>
      </c>
      <c r="H468" s="15">
        <v>43469</v>
      </c>
      <c r="I468">
        <v>338.125</v>
      </c>
      <c r="J468">
        <v>8000</v>
      </c>
      <c r="K468" s="28">
        <v>3.6484000000000001</v>
      </c>
    </row>
    <row r="469" spans="1:12" ht="15" customHeight="1" x14ac:dyDescent="0.2">
      <c r="A469" s="28" t="s">
        <v>9</v>
      </c>
      <c r="B469" t="s">
        <v>30</v>
      </c>
      <c r="C469" s="30" t="s">
        <v>54</v>
      </c>
      <c r="D469" s="28">
        <f>YEAR(TableauFlitrage[[#This Row],[Date_d_adjudication]])</f>
        <v>2018</v>
      </c>
      <c r="E469" s="28">
        <f t="shared" si="7"/>
        <v>7</v>
      </c>
      <c r="F469" s="15">
        <v>43285</v>
      </c>
      <c r="G469" s="28">
        <v>88.244299999999996</v>
      </c>
      <c r="H469" s="15">
        <v>44382</v>
      </c>
      <c r="I469">
        <v>80.25</v>
      </c>
      <c r="J469">
        <v>8800</v>
      </c>
      <c r="K469" s="28">
        <v>5.75</v>
      </c>
      <c r="L469">
        <v>6.5180498698519722</v>
      </c>
    </row>
    <row r="470" spans="1:12" ht="15" customHeight="1" x14ac:dyDescent="0.2">
      <c r="A470" s="28" t="s">
        <v>10</v>
      </c>
      <c r="B470" s="2" t="s">
        <v>29</v>
      </c>
      <c r="C470" s="30">
        <v>1</v>
      </c>
      <c r="D470" s="28">
        <f>YEAR(TableauFlitrage[[#This Row],[Date_d_adjudication]])</f>
        <v>2018</v>
      </c>
      <c r="E470" s="28">
        <f t="shared" si="7"/>
        <v>7</v>
      </c>
      <c r="F470" s="15">
        <v>43292</v>
      </c>
      <c r="G470" s="28">
        <v>91.221735555555554</v>
      </c>
      <c r="H470" s="15">
        <v>43658</v>
      </c>
      <c r="I470">
        <v>73.333299999999994</v>
      </c>
      <c r="J470">
        <v>15000</v>
      </c>
      <c r="K470" s="28">
        <v>8.6818000000000008</v>
      </c>
    </row>
    <row r="471" spans="1:12" ht="15" customHeight="1" x14ac:dyDescent="0.2">
      <c r="A471" s="28" t="s">
        <v>7</v>
      </c>
      <c r="B471" s="2" t="s">
        <v>29</v>
      </c>
      <c r="C471" s="30">
        <v>0.25</v>
      </c>
      <c r="D471" s="28">
        <f>YEAR(TableauFlitrage[[#This Row],[Date_d_adjudication]])</f>
        <v>2018</v>
      </c>
      <c r="E471" s="28">
        <f t="shared" si="7"/>
        <v>7</v>
      </c>
      <c r="F471" s="15">
        <v>43292</v>
      </c>
      <c r="G471" s="28">
        <v>99.340983055555554</v>
      </c>
      <c r="H471" s="15">
        <v>43385</v>
      </c>
      <c r="I471">
        <v>459</v>
      </c>
      <c r="J471">
        <v>7000</v>
      </c>
      <c r="K471" s="28">
        <v>2.6071</v>
      </c>
    </row>
    <row r="472" spans="1:12" ht="15" customHeight="1" x14ac:dyDescent="0.2">
      <c r="A472" s="28" t="s">
        <v>9</v>
      </c>
      <c r="B472" s="2" t="s">
        <v>29</v>
      </c>
      <c r="C472" s="30">
        <v>0.25</v>
      </c>
      <c r="D472" s="28">
        <f>YEAR(TableauFlitrage[[#This Row],[Date_d_adjudication]])</f>
        <v>2018</v>
      </c>
      <c r="E472" s="28">
        <f t="shared" si="7"/>
        <v>7</v>
      </c>
      <c r="F472" s="15">
        <v>43292</v>
      </c>
      <c r="G472" s="28">
        <v>99.15213277777778</v>
      </c>
      <c r="H472" s="15">
        <v>43385</v>
      </c>
      <c r="I472">
        <v>281.05</v>
      </c>
      <c r="J472">
        <v>14000</v>
      </c>
      <c r="K472" s="28">
        <v>3.3542000000000001</v>
      </c>
    </row>
    <row r="473" spans="1:12" ht="15" customHeight="1" x14ac:dyDescent="0.2">
      <c r="A473" s="28" t="s">
        <v>8</v>
      </c>
      <c r="B473" s="2" t="s">
        <v>29</v>
      </c>
      <c r="C473" s="30">
        <v>0.5</v>
      </c>
      <c r="D473" s="28">
        <f>YEAR(TableauFlitrage[[#This Row],[Date_d_adjudication]])</f>
        <v>2018</v>
      </c>
      <c r="E473" s="28">
        <f t="shared" si="7"/>
        <v>7</v>
      </c>
      <c r="F473" s="15">
        <v>43299</v>
      </c>
      <c r="G473" s="28">
        <v>96.713888888888889</v>
      </c>
      <c r="H473" s="15">
        <v>43483</v>
      </c>
      <c r="I473">
        <v>77.5</v>
      </c>
      <c r="J473">
        <v>4000</v>
      </c>
      <c r="K473" s="28">
        <v>6.5</v>
      </c>
    </row>
    <row r="474" spans="1:12" ht="15" customHeight="1" x14ac:dyDescent="0.2">
      <c r="A474" s="28" t="s">
        <v>7</v>
      </c>
      <c r="B474" s="2" t="s">
        <v>29</v>
      </c>
      <c r="C474" s="30">
        <v>0.25</v>
      </c>
      <c r="D474" s="28">
        <f>YEAR(TableauFlitrage[[#This Row],[Date_d_adjudication]])</f>
        <v>2018</v>
      </c>
      <c r="E474" s="28">
        <f t="shared" si="7"/>
        <v>7</v>
      </c>
      <c r="F474" s="15">
        <v>43299</v>
      </c>
      <c r="G474" s="28">
        <v>99.326170277777777</v>
      </c>
      <c r="H474" s="15">
        <v>43392</v>
      </c>
      <c r="I474">
        <v>259.21429999999998</v>
      </c>
      <c r="J474">
        <v>7000</v>
      </c>
      <c r="K474" s="28">
        <v>2.6657000000000002</v>
      </c>
    </row>
    <row r="475" spans="1:12" ht="15" customHeight="1" x14ac:dyDescent="0.2">
      <c r="A475" s="28" t="s">
        <v>9</v>
      </c>
      <c r="B475" s="2" t="s">
        <v>29</v>
      </c>
      <c r="C475" s="30">
        <v>0.5</v>
      </c>
      <c r="D475" s="28">
        <f>YEAR(TableauFlitrage[[#This Row],[Date_d_adjudication]])</f>
        <v>2018</v>
      </c>
      <c r="E475" s="28">
        <f t="shared" si="7"/>
        <v>7</v>
      </c>
      <c r="F475" s="15">
        <v>43299</v>
      </c>
      <c r="G475" s="28">
        <v>98.239099444444449</v>
      </c>
      <c r="H475" s="15">
        <v>43483</v>
      </c>
      <c r="I475">
        <v>168.75</v>
      </c>
      <c r="J475">
        <v>16000</v>
      </c>
      <c r="K475" s="28">
        <v>3.4830999999999999</v>
      </c>
    </row>
    <row r="476" spans="1:12" ht="15" customHeight="1" x14ac:dyDescent="0.2">
      <c r="A476" s="28" t="s">
        <v>11</v>
      </c>
      <c r="B476" s="2" t="s">
        <v>29</v>
      </c>
      <c r="C476" s="30">
        <v>0.5</v>
      </c>
      <c r="D476" s="28">
        <f>YEAR(TableauFlitrage[[#This Row],[Date_d_adjudication]])</f>
        <v>2018</v>
      </c>
      <c r="E476" s="28">
        <f t="shared" si="7"/>
        <v>7</v>
      </c>
      <c r="F476" s="15">
        <v>43299</v>
      </c>
      <c r="G476" s="28">
        <v>96.948132999999999</v>
      </c>
      <c r="H476" s="15">
        <v>43483</v>
      </c>
      <c r="I476">
        <v>100.813</v>
      </c>
      <c r="J476">
        <v>18450</v>
      </c>
      <c r="K476" s="28">
        <v>6.0366600000000004</v>
      </c>
    </row>
    <row r="477" spans="1:12" ht="15" customHeight="1" x14ac:dyDescent="0.2">
      <c r="A477" s="28" t="s">
        <v>7</v>
      </c>
      <c r="B477" s="2" t="s">
        <v>29</v>
      </c>
      <c r="C477" s="30">
        <v>0.5</v>
      </c>
      <c r="D477" s="28">
        <f>YEAR(TableauFlitrage[[#This Row],[Date_d_adjudication]])</f>
        <v>2018</v>
      </c>
      <c r="E477" s="28">
        <f t="shared" si="7"/>
        <v>7</v>
      </c>
      <c r="F477" s="15">
        <v>43306</v>
      </c>
      <c r="G477" s="28">
        <v>98.533888888888896</v>
      </c>
      <c r="H477" s="15">
        <v>43490</v>
      </c>
      <c r="I477">
        <v>265.39999999999998</v>
      </c>
      <c r="J477">
        <v>7000</v>
      </c>
      <c r="K477" s="28">
        <v>2.9</v>
      </c>
    </row>
    <row r="478" spans="1:12" ht="15" customHeight="1" x14ac:dyDescent="0.2">
      <c r="A478" s="28" t="s">
        <v>9</v>
      </c>
      <c r="B478" s="2" t="s">
        <v>29</v>
      </c>
      <c r="C478" s="30">
        <v>0.25</v>
      </c>
      <c r="D478" s="28">
        <f>YEAR(TableauFlitrage[[#This Row],[Date_d_adjudication]])</f>
        <v>2018</v>
      </c>
      <c r="E478" s="28">
        <f t="shared" si="7"/>
        <v>7</v>
      </c>
      <c r="F478" s="15">
        <v>43306</v>
      </c>
      <c r="G478" s="28">
        <v>99.138280555555554</v>
      </c>
      <c r="H478" s="15">
        <v>43399</v>
      </c>
      <c r="I478">
        <v>213.33330000000001</v>
      </c>
      <c r="J478">
        <v>15000</v>
      </c>
      <c r="K478" s="28">
        <v>3.4089999999999998</v>
      </c>
    </row>
    <row r="479" spans="1:12" ht="15" customHeight="1" x14ac:dyDescent="0.2">
      <c r="A479" s="28" t="s">
        <v>7</v>
      </c>
      <c r="B479" s="2" t="s">
        <v>29</v>
      </c>
      <c r="C479" s="30">
        <v>0.25</v>
      </c>
      <c r="D479" s="28">
        <f>YEAR(TableauFlitrage[[#This Row],[Date_d_adjudication]])</f>
        <v>2018</v>
      </c>
      <c r="E479" s="28">
        <f t="shared" si="7"/>
        <v>8</v>
      </c>
      <c r="F479" s="15">
        <v>43313</v>
      </c>
      <c r="G479" s="28">
        <v>99.325083333333339</v>
      </c>
      <c r="H479" s="15">
        <v>43406</v>
      </c>
      <c r="I479">
        <v>114.44</v>
      </c>
      <c r="J479">
        <v>7000</v>
      </c>
      <c r="K479" s="28">
        <v>2.67</v>
      </c>
    </row>
    <row r="480" spans="1:12" ht="15" customHeight="1" x14ac:dyDescent="0.2">
      <c r="A480" s="28" t="s">
        <v>9</v>
      </c>
      <c r="B480" s="2" t="s">
        <v>29</v>
      </c>
      <c r="C480" s="30">
        <v>0.25</v>
      </c>
      <c r="D480" s="28">
        <f>YEAR(TableauFlitrage[[#This Row],[Date_d_adjudication]])</f>
        <v>2018</v>
      </c>
      <c r="E480" s="28">
        <f t="shared" si="7"/>
        <v>8</v>
      </c>
      <c r="F480" s="15">
        <v>43313</v>
      </c>
      <c r="G480" s="28">
        <v>99.17594444444444</v>
      </c>
      <c r="H480" s="15">
        <v>43406</v>
      </c>
      <c r="I480">
        <v>240</v>
      </c>
      <c r="J480">
        <v>10000</v>
      </c>
      <c r="K480" s="28">
        <v>3.26</v>
      </c>
    </row>
    <row r="481" spans="1:12" ht="15" customHeight="1" x14ac:dyDescent="0.2">
      <c r="A481" s="28" t="s">
        <v>11</v>
      </c>
      <c r="B481" s="2" t="s">
        <v>29</v>
      </c>
      <c r="C481" s="30">
        <v>0.5</v>
      </c>
      <c r="D481" s="28">
        <f>YEAR(TableauFlitrage[[#This Row],[Date_d_adjudication]])</f>
        <v>2018</v>
      </c>
      <c r="E481" s="28">
        <f t="shared" si="7"/>
        <v>8</v>
      </c>
      <c r="F481" s="15">
        <v>43313</v>
      </c>
      <c r="G481" s="28">
        <v>96.713888888888889</v>
      </c>
      <c r="H481" s="15">
        <v>43497</v>
      </c>
      <c r="I481">
        <v>100</v>
      </c>
      <c r="J481">
        <v>11700</v>
      </c>
      <c r="K481" s="28">
        <v>6.5</v>
      </c>
    </row>
    <row r="482" spans="1:12" ht="15" customHeight="1" x14ac:dyDescent="0.2">
      <c r="A482" s="28" t="s">
        <v>9</v>
      </c>
      <c r="B482" t="s">
        <v>30</v>
      </c>
      <c r="C482" s="30" t="s">
        <v>54</v>
      </c>
      <c r="D482" s="28">
        <f>YEAR(TableauFlitrage[[#This Row],[Date_d_adjudication]])</f>
        <v>2018</v>
      </c>
      <c r="E482" s="28">
        <f t="shared" si="7"/>
        <v>8</v>
      </c>
      <c r="F482" s="15">
        <v>43313</v>
      </c>
      <c r="G482" s="28">
        <v>75.441100000000006</v>
      </c>
      <c r="H482" s="15">
        <v>44382</v>
      </c>
      <c r="I482">
        <v>66.666700000000006</v>
      </c>
      <c r="J482">
        <v>5000</v>
      </c>
      <c r="K482" s="28">
        <v>5.75</v>
      </c>
      <c r="L482">
        <v>7.6257142080207032</v>
      </c>
    </row>
    <row r="483" spans="1:12" ht="15" customHeight="1" x14ac:dyDescent="0.2">
      <c r="A483" s="28" t="s">
        <v>9</v>
      </c>
      <c r="B483" t="s">
        <v>30</v>
      </c>
      <c r="C483" s="30" t="s">
        <v>55</v>
      </c>
      <c r="D483" s="28">
        <f>YEAR(TableauFlitrage[[#This Row],[Date_d_adjudication]])</f>
        <v>2018</v>
      </c>
      <c r="E483" s="28">
        <f t="shared" si="7"/>
        <v>8</v>
      </c>
      <c r="F483" s="15">
        <v>43313</v>
      </c>
      <c r="G483" s="28">
        <v>100</v>
      </c>
      <c r="H483" s="15">
        <v>45141</v>
      </c>
      <c r="I483">
        <v>100</v>
      </c>
      <c r="J483">
        <v>10000</v>
      </c>
      <c r="K483" s="28">
        <v>7</v>
      </c>
      <c r="L483">
        <v>7</v>
      </c>
    </row>
    <row r="484" spans="1:12" ht="15" customHeight="1" x14ac:dyDescent="0.2">
      <c r="A484" s="28" t="s">
        <v>9</v>
      </c>
      <c r="B484" s="2" t="s">
        <v>29</v>
      </c>
      <c r="C484" s="30">
        <v>0.25</v>
      </c>
      <c r="D484" s="28">
        <f>YEAR(TableauFlitrage[[#This Row],[Date_d_adjudication]])</f>
        <v>2018</v>
      </c>
      <c r="E484" s="28">
        <f t="shared" si="7"/>
        <v>8</v>
      </c>
      <c r="F484" s="15">
        <v>43320</v>
      </c>
      <c r="G484" s="28">
        <v>99.165833333333339</v>
      </c>
      <c r="H484" s="15">
        <v>43413</v>
      </c>
      <c r="I484">
        <v>225</v>
      </c>
      <c r="J484">
        <v>10000</v>
      </c>
      <c r="K484" s="28">
        <v>3.3</v>
      </c>
    </row>
    <row r="485" spans="1:12" ht="15" customHeight="1" x14ac:dyDescent="0.2">
      <c r="A485" s="28" t="s">
        <v>7</v>
      </c>
      <c r="B485" s="2" t="s">
        <v>29</v>
      </c>
      <c r="C485" s="30">
        <v>0.25</v>
      </c>
      <c r="D485" s="28">
        <f>YEAR(TableauFlitrage[[#This Row],[Date_d_adjudication]])</f>
        <v>2018</v>
      </c>
      <c r="E485" s="28">
        <f t="shared" si="7"/>
        <v>8</v>
      </c>
      <c r="F485" s="15">
        <v>43320</v>
      </c>
      <c r="G485" s="28">
        <v>99.312444444444438</v>
      </c>
      <c r="H485" s="15">
        <v>43413</v>
      </c>
      <c r="I485">
        <v>219.29</v>
      </c>
      <c r="J485">
        <v>10000</v>
      </c>
      <c r="K485" s="28">
        <v>2.72</v>
      </c>
    </row>
    <row r="486" spans="1:12" ht="15" customHeight="1" x14ac:dyDescent="0.2">
      <c r="A486" s="28" t="s">
        <v>10</v>
      </c>
      <c r="B486" s="2" t="s">
        <v>29</v>
      </c>
      <c r="C486" s="30">
        <v>1</v>
      </c>
      <c r="D486" s="28">
        <f>YEAR(TableauFlitrage[[#This Row],[Date_d_adjudication]])</f>
        <v>2018</v>
      </c>
      <c r="E486" s="28">
        <f t="shared" si="7"/>
        <v>8</v>
      </c>
      <c r="F486" s="15">
        <v>43320</v>
      </c>
      <c r="G486" s="28">
        <v>90.394444444444446</v>
      </c>
      <c r="H486" s="15">
        <v>43686</v>
      </c>
      <c r="I486">
        <v>66.67</v>
      </c>
      <c r="J486">
        <v>15000</v>
      </c>
      <c r="K486" s="28">
        <v>9.5</v>
      </c>
    </row>
    <row r="487" spans="1:12" ht="15" customHeight="1" x14ac:dyDescent="0.2">
      <c r="A487" s="28" t="s">
        <v>8</v>
      </c>
      <c r="B487" s="2" t="s">
        <v>29</v>
      </c>
      <c r="C487" s="30">
        <v>0.5</v>
      </c>
      <c r="D487" s="28">
        <f>YEAR(TableauFlitrage[[#This Row],[Date_d_adjudication]])</f>
        <v>2018</v>
      </c>
      <c r="E487" s="28">
        <f t="shared" si="7"/>
        <v>8</v>
      </c>
      <c r="F487" s="15">
        <v>43320</v>
      </c>
      <c r="G487" s="28">
        <v>96.916111111111107</v>
      </c>
      <c r="H487" s="15">
        <v>43504</v>
      </c>
      <c r="I487">
        <v>110</v>
      </c>
      <c r="J487">
        <v>6000</v>
      </c>
      <c r="K487" s="28">
        <v>6.1</v>
      </c>
    </row>
    <row r="488" spans="1:12" ht="15" customHeight="1" x14ac:dyDescent="0.2">
      <c r="A488" s="28" t="s">
        <v>7</v>
      </c>
      <c r="B488" s="2" t="s">
        <v>29</v>
      </c>
      <c r="C488" s="30">
        <v>0.25</v>
      </c>
      <c r="D488" s="28">
        <f>YEAR(TableauFlitrage[[#This Row],[Date_d_adjudication]])</f>
        <v>2018</v>
      </c>
      <c r="E488" s="28">
        <f t="shared" si="7"/>
        <v>8</v>
      </c>
      <c r="F488" s="15">
        <v>43327</v>
      </c>
      <c r="G488" s="28">
        <v>99.320027777777781</v>
      </c>
      <c r="H488" s="15">
        <v>43420</v>
      </c>
      <c r="I488">
        <v>232.29</v>
      </c>
      <c r="J488">
        <v>10000</v>
      </c>
      <c r="K488" s="28">
        <v>2.69</v>
      </c>
    </row>
    <row r="489" spans="1:12" ht="15" customHeight="1" x14ac:dyDescent="0.2">
      <c r="A489" s="28" t="s">
        <v>9</v>
      </c>
      <c r="B489" s="2" t="s">
        <v>29</v>
      </c>
      <c r="C489" s="30">
        <v>0.5</v>
      </c>
      <c r="D489" s="28">
        <f>YEAR(TableauFlitrage[[#This Row],[Date_d_adjudication]])</f>
        <v>2018</v>
      </c>
      <c r="E489" s="28">
        <f t="shared" si="7"/>
        <v>8</v>
      </c>
      <c r="F489" s="15">
        <v>43327</v>
      </c>
      <c r="G489" s="28">
        <v>98.341777777777779</v>
      </c>
      <c r="H489" s="15">
        <v>43511</v>
      </c>
      <c r="I489">
        <v>266.67</v>
      </c>
      <c r="J489">
        <v>7500</v>
      </c>
      <c r="K489" s="28">
        <v>3.28</v>
      </c>
    </row>
    <row r="490" spans="1:12" ht="15" customHeight="1" x14ac:dyDescent="0.2">
      <c r="A490" s="28" t="s">
        <v>7</v>
      </c>
      <c r="B490" s="2" t="s">
        <v>29</v>
      </c>
      <c r="C490" s="30">
        <v>0.25</v>
      </c>
      <c r="D490" s="28">
        <f>YEAR(TableauFlitrage[[#This Row],[Date_d_adjudication]])</f>
        <v>2018</v>
      </c>
      <c r="E490" s="28">
        <f t="shared" si="7"/>
        <v>8</v>
      </c>
      <c r="F490" s="15">
        <v>43334</v>
      </c>
      <c r="G490" s="28">
        <v>99.352888888888884</v>
      </c>
      <c r="H490" s="15">
        <v>43427</v>
      </c>
      <c r="I490">
        <v>170</v>
      </c>
      <c r="J490">
        <v>10000</v>
      </c>
      <c r="K490" s="28">
        <v>2.56</v>
      </c>
    </row>
    <row r="491" spans="1:12" ht="15" customHeight="1" x14ac:dyDescent="0.2">
      <c r="A491" s="28" t="s">
        <v>9</v>
      </c>
      <c r="B491" s="2" t="s">
        <v>29</v>
      </c>
      <c r="C491" s="30">
        <v>0.25</v>
      </c>
      <c r="D491" s="28">
        <f>YEAR(TableauFlitrage[[#This Row],[Date_d_adjudication]])</f>
        <v>2018</v>
      </c>
      <c r="E491" s="28">
        <f t="shared" si="7"/>
        <v>8</v>
      </c>
      <c r="F491" s="15">
        <v>43334</v>
      </c>
      <c r="G491" s="28">
        <v>99.155722222222224</v>
      </c>
      <c r="H491" s="15">
        <v>43427</v>
      </c>
      <c r="I491">
        <v>134.74</v>
      </c>
      <c r="J491">
        <v>12000</v>
      </c>
      <c r="K491" s="28">
        <v>3.34</v>
      </c>
    </row>
    <row r="492" spans="1:12" ht="15" customHeight="1" x14ac:dyDescent="0.2">
      <c r="A492" s="28" t="s">
        <v>11</v>
      </c>
      <c r="B492" s="2" t="s">
        <v>29</v>
      </c>
      <c r="C492" s="30">
        <v>0.5</v>
      </c>
      <c r="D492" s="28">
        <f>YEAR(TableauFlitrage[[#This Row],[Date_d_adjudication]])</f>
        <v>2018</v>
      </c>
      <c r="E492" s="28">
        <f t="shared" si="7"/>
        <v>8</v>
      </c>
      <c r="F492" s="15">
        <v>43334</v>
      </c>
      <c r="G492" s="28">
        <v>96.926222222222222</v>
      </c>
      <c r="H492" s="15">
        <v>43518</v>
      </c>
      <c r="I492">
        <v>104.44</v>
      </c>
      <c r="J492">
        <v>13500</v>
      </c>
      <c r="K492" s="28">
        <v>6.08</v>
      </c>
    </row>
    <row r="493" spans="1:12" ht="15" customHeight="1" x14ac:dyDescent="0.2">
      <c r="A493" s="28" t="s">
        <v>11</v>
      </c>
      <c r="B493" s="2" t="s">
        <v>29</v>
      </c>
      <c r="C493" s="30">
        <v>0.5</v>
      </c>
      <c r="D493" s="28">
        <f>YEAR(TableauFlitrage[[#This Row],[Date_d_adjudication]])</f>
        <v>2018</v>
      </c>
      <c r="E493" s="28">
        <f t="shared" si="7"/>
        <v>8</v>
      </c>
      <c r="F493" s="15">
        <v>43341</v>
      </c>
      <c r="G493" s="28">
        <v>96.814999999999998</v>
      </c>
      <c r="H493" s="15">
        <v>43525</v>
      </c>
      <c r="I493">
        <v>119.08</v>
      </c>
      <c r="J493">
        <v>23850</v>
      </c>
      <c r="K493" s="28">
        <v>6.3</v>
      </c>
    </row>
    <row r="494" spans="1:12" ht="15" customHeight="1" x14ac:dyDescent="0.2">
      <c r="A494" s="28" t="s">
        <v>9</v>
      </c>
      <c r="B494" s="2" t="s">
        <v>29</v>
      </c>
      <c r="C494" s="30">
        <v>0.25</v>
      </c>
      <c r="D494" s="28">
        <f>YEAR(TableauFlitrage[[#This Row],[Date_d_adjudication]])</f>
        <v>2018</v>
      </c>
      <c r="E494" s="28">
        <f t="shared" si="7"/>
        <v>8</v>
      </c>
      <c r="F494" s="15">
        <v>43341</v>
      </c>
      <c r="G494" s="28">
        <v>99.191111111111113</v>
      </c>
      <c r="H494" s="15">
        <v>43434</v>
      </c>
      <c r="I494">
        <v>164.29</v>
      </c>
      <c r="J494">
        <v>14000</v>
      </c>
      <c r="K494" s="28">
        <v>3.2</v>
      </c>
    </row>
    <row r="495" spans="1:12" ht="15" customHeight="1" x14ac:dyDescent="0.2">
      <c r="A495" s="28" t="s">
        <v>8</v>
      </c>
      <c r="B495" s="2" t="s">
        <v>29</v>
      </c>
      <c r="C495" s="30">
        <v>0.5</v>
      </c>
      <c r="D495" s="28">
        <f>YEAR(TableauFlitrage[[#This Row],[Date_d_adjudication]])</f>
        <v>2018</v>
      </c>
      <c r="E495" s="28">
        <f t="shared" si="7"/>
        <v>8</v>
      </c>
      <c r="F495" s="15">
        <v>43341</v>
      </c>
      <c r="G495" s="28">
        <v>96.966666666666669</v>
      </c>
      <c r="H495" s="15">
        <v>43525</v>
      </c>
      <c r="I495">
        <v>102</v>
      </c>
      <c r="J495">
        <v>5000</v>
      </c>
      <c r="K495" s="28">
        <v>6</v>
      </c>
    </row>
    <row r="496" spans="1:12" ht="15" customHeight="1" x14ac:dyDescent="0.2">
      <c r="A496" s="28" t="s">
        <v>7</v>
      </c>
      <c r="B496" s="2" t="s">
        <v>29</v>
      </c>
      <c r="C496" s="30">
        <v>0.5</v>
      </c>
      <c r="D496" s="28">
        <f>YEAR(TableauFlitrage[[#This Row],[Date_d_adjudication]])</f>
        <v>2018</v>
      </c>
      <c r="E496" s="28">
        <f t="shared" si="7"/>
        <v>9</v>
      </c>
      <c r="F496" s="15">
        <v>43348</v>
      </c>
      <c r="G496" s="28">
        <v>98.631966666666671</v>
      </c>
      <c r="H496" s="15">
        <v>43532</v>
      </c>
      <c r="I496">
        <v>276.86</v>
      </c>
      <c r="J496">
        <v>10000</v>
      </c>
      <c r="K496" s="28">
        <v>2.706</v>
      </c>
    </row>
    <row r="497" spans="1:12" ht="15" customHeight="1" x14ac:dyDescent="0.2">
      <c r="A497" s="28" t="s">
        <v>9</v>
      </c>
      <c r="B497" s="2" t="s">
        <v>29</v>
      </c>
      <c r="C497" s="30">
        <v>0.25</v>
      </c>
      <c r="D497" s="28">
        <f>YEAR(TableauFlitrage[[#This Row],[Date_d_adjudication]])</f>
        <v>2018</v>
      </c>
      <c r="E497" s="28">
        <f t="shared" si="7"/>
        <v>9</v>
      </c>
      <c r="F497" s="15">
        <v>43348</v>
      </c>
      <c r="G497" s="28">
        <v>99.161131666666662</v>
      </c>
      <c r="H497" s="15">
        <v>43441</v>
      </c>
      <c r="I497">
        <v>155.42500000000001</v>
      </c>
      <c r="J497">
        <v>12000</v>
      </c>
      <c r="K497" s="28">
        <v>3.3186</v>
      </c>
    </row>
    <row r="498" spans="1:12" ht="15" customHeight="1" x14ac:dyDescent="0.2">
      <c r="A498" s="28" t="s">
        <v>11</v>
      </c>
      <c r="B498" s="2" t="s">
        <v>29</v>
      </c>
      <c r="C498" s="30">
        <v>0.5</v>
      </c>
      <c r="D498" s="28">
        <f>YEAR(TableauFlitrage[[#This Row],[Date_d_adjudication]])</f>
        <v>2018</v>
      </c>
      <c r="E498" s="28">
        <f t="shared" si="7"/>
        <v>9</v>
      </c>
      <c r="F498" s="15">
        <v>43348</v>
      </c>
      <c r="G498" s="28">
        <v>96.840277777777771</v>
      </c>
      <c r="H498" s="15">
        <v>43532</v>
      </c>
      <c r="I498">
        <v>100</v>
      </c>
      <c r="J498">
        <v>13500</v>
      </c>
      <c r="K498" s="28">
        <v>6.25</v>
      </c>
    </row>
    <row r="499" spans="1:12" ht="15" customHeight="1" x14ac:dyDescent="0.2">
      <c r="A499" s="28" t="s">
        <v>11</v>
      </c>
      <c r="B499" s="2" t="s">
        <v>29</v>
      </c>
      <c r="C499" s="30">
        <v>0.5</v>
      </c>
      <c r="D499" s="28">
        <f>YEAR(TableauFlitrage[[#This Row],[Date_d_adjudication]])</f>
        <v>2018</v>
      </c>
      <c r="E499" s="28">
        <f t="shared" si="7"/>
        <v>9</v>
      </c>
      <c r="F499" s="15">
        <v>43355</v>
      </c>
      <c r="G499" s="28">
        <v>96.901652222222225</v>
      </c>
      <c r="H499" s="15">
        <v>43539</v>
      </c>
      <c r="I499">
        <v>100.07</v>
      </c>
      <c r="J499">
        <v>28350</v>
      </c>
      <c r="K499" s="28">
        <v>6.1285999999999996</v>
      </c>
    </row>
    <row r="500" spans="1:12" ht="15" customHeight="1" x14ac:dyDescent="0.2">
      <c r="A500" s="28" t="s">
        <v>9</v>
      </c>
      <c r="B500" s="2" t="s">
        <v>29</v>
      </c>
      <c r="C500" s="30">
        <v>0.5</v>
      </c>
      <c r="D500" s="28">
        <f>YEAR(TableauFlitrage[[#This Row],[Date_d_adjudication]])</f>
        <v>2018</v>
      </c>
      <c r="E500" s="28">
        <f t="shared" si="7"/>
        <v>9</v>
      </c>
      <c r="F500" s="15">
        <v>43355</v>
      </c>
      <c r="G500" s="28">
        <v>98.16675444444445</v>
      </c>
      <c r="H500" s="15">
        <v>43539</v>
      </c>
      <c r="I500">
        <v>97.273300000000006</v>
      </c>
      <c r="J500">
        <v>15000</v>
      </c>
      <c r="K500" s="28">
        <v>3.6261999999999999</v>
      </c>
    </row>
    <row r="501" spans="1:12" ht="15" customHeight="1" x14ac:dyDescent="0.2">
      <c r="A501" s="28" t="s">
        <v>7</v>
      </c>
      <c r="B501" s="2" t="s">
        <v>29</v>
      </c>
      <c r="C501" s="30">
        <v>0.5</v>
      </c>
      <c r="D501" s="28">
        <f>YEAR(TableauFlitrage[[#This Row],[Date_d_adjudication]])</f>
        <v>2018</v>
      </c>
      <c r="E501" s="28">
        <f t="shared" si="7"/>
        <v>9</v>
      </c>
      <c r="F501" s="15">
        <v>43355</v>
      </c>
      <c r="G501" s="28">
        <v>98.630500555555557</v>
      </c>
      <c r="H501" s="15">
        <v>43539</v>
      </c>
      <c r="I501">
        <v>227.55</v>
      </c>
      <c r="J501">
        <v>10000</v>
      </c>
      <c r="K501" s="28">
        <v>2.7088999999999999</v>
      </c>
    </row>
    <row r="502" spans="1:12" ht="15" customHeight="1" x14ac:dyDescent="0.2">
      <c r="A502" s="28" t="s">
        <v>8</v>
      </c>
      <c r="B502" s="2" t="s">
        <v>29</v>
      </c>
      <c r="C502" s="30">
        <v>0.5</v>
      </c>
      <c r="D502" s="28">
        <f>YEAR(TableauFlitrage[[#This Row],[Date_d_adjudication]])</f>
        <v>2018</v>
      </c>
      <c r="E502" s="28">
        <f t="shared" si="7"/>
        <v>9</v>
      </c>
      <c r="F502" s="15">
        <v>43355</v>
      </c>
      <c r="G502" s="28">
        <v>96.966666666666669</v>
      </c>
      <c r="H502" s="15">
        <v>43539</v>
      </c>
      <c r="I502">
        <v>170</v>
      </c>
      <c r="J502">
        <v>5000</v>
      </c>
      <c r="K502" s="28">
        <v>6</v>
      </c>
    </row>
    <row r="503" spans="1:12" ht="15" customHeight="1" x14ac:dyDescent="0.2">
      <c r="A503" s="28" t="s">
        <v>9</v>
      </c>
      <c r="B503" t="s">
        <v>30</v>
      </c>
      <c r="C503" s="30" t="s">
        <v>53</v>
      </c>
      <c r="D503" s="28">
        <f>YEAR(TableauFlitrage[[#This Row],[Date_d_adjudication]])</f>
        <v>2018</v>
      </c>
      <c r="E503" s="28">
        <f t="shared" si="7"/>
        <v>9</v>
      </c>
      <c r="F503" s="15">
        <v>43355</v>
      </c>
      <c r="G503" s="28">
        <v>96.1648</v>
      </c>
      <c r="H503" s="15">
        <v>43731</v>
      </c>
      <c r="I503">
        <v>93</v>
      </c>
      <c r="J503">
        <v>20000</v>
      </c>
      <c r="K503" s="28">
        <v>4.5</v>
      </c>
      <c r="L503">
        <v>4.7193484518243682</v>
      </c>
    </row>
    <row r="504" spans="1:12" ht="15" customHeight="1" x14ac:dyDescent="0.2">
      <c r="A504" s="28" t="s">
        <v>8</v>
      </c>
      <c r="B504" s="2" t="s">
        <v>29</v>
      </c>
      <c r="C504" s="30">
        <v>0.5</v>
      </c>
      <c r="D504" s="28">
        <f>YEAR(TableauFlitrage[[#This Row],[Date_d_adjudication]])</f>
        <v>2018</v>
      </c>
      <c r="E504" s="28">
        <f t="shared" si="7"/>
        <v>9</v>
      </c>
      <c r="F504" s="15">
        <v>43362</v>
      </c>
      <c r="G504" s="28">
        <v>96.949831666666668</v>
      </c>
      <c r="H504" s="15">
        <v>43546</v>
      </c>
      <c r="I504">
        <v>77.5</v>
      </c>
      <c r="J504">
        <v>8000</v>
      </c>
      <c r="K504" s="28">
        <v>6.0332999999999997</v>
      </c>
    </row>
    <row r="505" spans="1:12" ht="15" customHeight="1" x14ac:dyDescent="0.2">
      <c r="A505" s="28" t="s">
        <v>9</v>
      </c>
      <c r="B505" s="2" t="s">
        <v>29</v>
      </c>
      <c r="C505" s="30">
        <v>0.25</v>
      </c>
      <c r="D505" s="28">
        <f>YEAR(TableauFlitrage[[#This Row],[Date_d_adjudication]])</f>
        <v>2018</v>
      </c>
      <c r="E505" s="28">
        <f t="shared" si="7"/>
        <v>9</v>
      </c>
      <c r="F505" s="15">
        <v>43362</v>
      </c>
      <c r="G505" s="28">
        <v>99.119069444444449</v>
      </c>
      <c r="H505" s="15">
        <v>43455</v>
      </c>
      <c r="I505">
        <v>120</v>
      </c>
      <c r="J505">
        <v>5000</v>
      </c>
      <c r="K505" s="28">
        <v>3.4849999999999999</v>
      </c>
    </row>
    <row r="506" spans="1:12" ht="15" customHeight="1" x14ac:dyDescent="0.2">
      <c r="A506" s="28" t="s">
        <v>9</v>
      </c>
      <c r="B506" s="2" t="s">
        <v>29</v>
      </c>
      <c r="C506" s="30">
        <v>0.25</v>
      </c>
      <c r="D506" s="28">
        <f>YEAR(TableauFlitrage[[#This Row],[Date_d_adjudication]])</f>
        <v>2018</v>
      </c>
      <c r="E506" s="28">
        <f t="shared" si="7"/>
        <v>9</v>
      </c>
      <c r="F506" s="15">
        <v>43369</v>
      </c>
      <c r="G506" s="28">
        <v>99.15155138888889</v>
      </c>
      <c r="H506" s="15">
        <v>43462</v>
      </c>
      <c r="I506">
        <v>168.08330000000001</v>
      </c>
      <c r="J506">
        <v>12000</v>
      </c>
      <c r="K506" s="28">
        <v>3.3565</v>
      </c>
    </row>
    <row r="507" spans="1:12" ht="15" customHeight="1" x14ac:dyDescent="0.2">
      <c r="A507" s="28" t="s">
        <v>7</v>
      </c>
      <c r="B507" s="2" t="s">
        <v>29</v>
      </c>
      <c r="C507" s="30">
        <v>0.25</v>
      </c>
      <c r="D507" s="28">
        <f>YEAR(TableauFlitrage[[#This Row],[Date_d_adjudication]])</f>
        <v>2018</v>
      </c>
      <c r="E507" s="28">
        <f t="shared" si="7"/>
        <v>9</v>
      </c>
      <c r="F507" s="15">
        <v>43369</v>
      </c>
      <c r="G507" s="28">
        <v>99.358576388888892</v>
      </c>
      <c r="H507" s="15">
        <v>43462</v>
      </c>
      <c r="I507">
        <v>245</v>
      </c>
      <c r="J507">
        <v>10000</v>
      </c>
      <c r="K507" s="28">
        <v>2.5375000000000001</v>
      </c>
    </row>
    <row r="508" spans="1:12" ht="15" customHeight="1" x14ac:dyDescent="0.2">
      <c r="A508" s="28" t="s">
        <v>11</v>
      </c>
      <c r="B508" s="2" t="s">
        <v>29</v>
      </c>
      <c r="C508" s="30">
        <v>0.5</v>
      </c>
      <c r="D508" s="28">
        <f>YEAR(TableauFlitrage[[#This Row],[Date_d_adjudication]])</f>
        <v>2018</v>
      </c>
      <c r="E508" s="28">
        <f t="shared" si="7"/>
        <v>9</v>
      </c>
      <c r="F508" s="15">
        <v>43369</v>
      </c>
      <c r="G508" s="28">
        <v>96.713888888888889</v>
      </c>
      <c r="H508" s="15">
        <v>43553</v>
      </c>
      <c r="I508">
        <v>100</v>
      </c>
      <c r="J508">
        <v>4500</v>
      </c>
      <c r="K508" s="28">
        <v>6.5</v>
      </c>
    </row>
    <row r="509" spans="1:12" ht="15" customHeight="1" x14ac:dyDescent="0.2">
      <c r="A509" s="28" t="s">
        <v>7</v>
      </c>
      <c r="B509" s="2" t="s">
        <v>29</v>
      </c>
      <c r="C509" s="30">
        <v>0.25</v>
      </c>
      <c r="D509" s="28">
        <f>YEAR(TableauFlitrage[[#This Row],[Date_d_adjudication]])</f>
        <v>2018</v>
      </c>
      <c r="E509" s="28">
        <f t="shared" ref="E509:E572" si="8">MONTH(F509)</f>
        <v>10</v>
      </c>
      <c r="F509" s="15">
        <v>43376</v>
      </c>
      <c r="G509" s="28">
        <v>99.342272222222221</v>
      </c>
      <c r="H509" s="15">
        <v>43469</v>
      </c>
      <c r="I509">
        <v>155</v>
      </c>
      <c r="J509">
        <v>10000</v>
      </c>
      <c r="K509" s="28">
        <v>2.6019999999999999</v>
      </c>
    </row>
    <row r="510" spans="1:12" ht="15" customHeight="1" x14ac:dyDescent="0.2">
      <c r="A510" s="28" t="s">
        <v>9</v>
      </c>
      <c r="B510" s="2" t="s">
        <v>29</v>
      </c>
      <c r="C510" s="30">
        <v>0.5</v>
      </c>
      <c r="D510" s="28">
        <f>YEAR(TableauFlitrage[[#This Row],[Date_d_adjudication]])</f>
        <v>2018</v>
      </c>
      <c r="E510" s="28">
        <f t="shared" si="8"/>
        <v>10</v>
      </c>
      <c r="F510" s="15">
        <v>43376</v>
      </c>
      <c r="G510" s="28">
        <v>98.100122222222225</v>
      </c>
      <c r="H510" s="15">
        <v>43560</v>
      </c>
      <c r="I510">
        <v>55.293999999999997</v>
      </c>
      <c r="J510">
        <v>17000</v>
      </c>
      <c r="K510" s="28">
        <v>3.758</v>
      </c>
    </row>
    <row r="511" spans="1:12" ht="15" customHeight="1" x14ac:dyDescent="0.2">
      <c r="A511" s="28" t="s">
        <v>9</v>
      </c>
      <c r="B511" s="2" t="s">
        <v>29</v>
      </c>
      <c r="C511" s="30">
        <v>0.25</v>
      </c>
      <c r="D511" s="28">
        <f>YEAR(TableauFlitrage[[#This Row],[Date_d_adjudication]])</f>
        <v>2018</v>
      </c>
      <c r="E511" s="28">
        <f t="shared" si="8"/>
        <v>10</v>
      </c>
      <c r="F511" s="15">
        <v>43383</v>
      </c>
      <c r="G511" s="28">
        <v>99.12495916666667</v>
      </c>
      <c r="H511" s="15">
        <v>43476</v>
      </c>
      <c r="I511">
        <v>174.66669999999999</v>
      </c>
      <c r="J511">
        <v>15000</v>
      </c>
      <c r="K511" s="28">
        <v>3.4617</v>
      </c>
    </row>
    <row r="512" spans="1:12" ht="15" customHeight="1" x14ac:dyDescent="0.2">
      <c r="A512" s="28" t="s">
        <v>7</v>
      </c>
      <c r="B512" s="2" t="s">
        <v>29</v>
      </c>
      <c r="C512" s="30">
        <v>0.25</v>
      </c>
      <c r="D512" s="28">
        <f>YEAR(TableauFlitrage[[#This Row],[Date_d_adjudication]])</f>
        <v>2018</v>
      </c>
      <c r="E512" s="28">
        <f t="shared" si="8"/>
        <v>10</v>
      </c>
      <c r="F512" s="15">
        <v>43383</v>
      </c>
      <c r="G512" s="28">
        <v>99.354152777777784</v>
      </c>
      <c r="H512" s="15">
        <v>43476</v>
      </c>
      <c r="I512">
        <v>230</v>
      </c>
      <c r="J512">
        <v>10000</v>
      </c>
      <c r="K512" s="28">
        <v>2.5550000000000002</v>
      </c>
    </row>
    <row r="513" spans="1:12" ht="15" customHeight="1" x14ac:dyDescent="0.2">
      <c r="A513" s="28" t="s">
        <v>8</v>
      </c>
      <c r="B513" s="2" t="s">
        <v>29</v>
      </c>
      <c r="C513" s="30">
        <v>0.5</v>
      </c>
      <c r="D513" s="28">
        <f>YEAR(TableauFlitrage[[#This Row],[Date_d_adjudication]])</f>
        <v>2018</v>
      </c>
      <c r="E513" s="28">
        <f t="shared" si="8"/>
        <v>10</v>
      </c>
      <c r="F513" s="15">
        <v>43390</v>
      </c>
      <c r="G513" s="28">
        <v>96.76444444444445</v>
      </c>
      <c r="H513" s="15">
        <v>43574</v>
      </c>
      <c r="I513">
        <v>73.333299999999994</v>
      </c>
      <c r="J513">
        <v>9000</v>
      </c>
      <c r="K513" s="28">
        <v>6.4</v>
      </c>
    </row>
    <row r="514" spans="1:12" ht="15" customHeight="1" x14ac:dyDescent="0.2">
      <c r="A514" s="28" t="s">
        <v>9</v>
      </c>
      <c r="B514" s="2" t="s">
        <v>29</v>
      </c>
      <c r="C514" s="30">
        <v>0.5</v>
      </c>
      <c r="D514" s="28">
        <f>YEAR(TableauFlitrage[[#This Row],[Date_d_adjudication]])</f>
        <v>2018</v>
      </c>
      <c r="E514" s="28">
        <f t="shared" si="8"/>
        <v>10</v>
      </c>
      <c r="F514" s="15">
        <v>43390</v>
      </c>
      <c r="G514" s="28">
        <v>98.172770555555559</v>
      </c>
      <c r="H514" s="15">
        <v>43574</v>
      </c>
      <c r="I514">
        <v>176</v>
      </c>
      <c r="J514">
        <v>15000</v>
      </c>
      <c r="K514" s="28">
        <v>3.6143000000000001</v>
      </c>
    </row>
    <row r="515" spans="1:12" ht="15" customHeight="1" x14ac:dyDescent="0.2">
      <c r="A515" s="28" t="s">
        <v>14</v>
      </c>
      <c r="B515" s="2" t="s">
        <v>29</v>
      </c>
      <c r="C515" s="30">
        <v>0.5</v>
      </c>
      <c r="D515" s="28">
        <f>YEAR(TableauFlitrage[[#This Row],[Date_d_adjudication]])</f>
        <v>2018</v>
      </c>
      <c r="E515" s="28">
        <f t="shared" si="8"/>
        <v>10</v>
      </c>
      <c r="F515" s="15">
        <v>43390</v>
      </c>
      <c r="G515" s="28">
        <v>97.311354444444447</v>
      </c>
      <c r="H515" s="15">
        <v>43574</v>
      </c>
      <c r="I515">
        <v>100</v>
      </c>
      <c r="J515">
        <v>5500</v>
      </c>
      <c r="K515" s="28">
        <v>5.3182</v>
      </c>
    </row>
    <row r="516" spans="1:12" ht="15" customHeight="1" x14ac:dyDescent="0.2">
      <c r="A516" s="28" t="s">
        <v>11</v>
      </c>
      <c r="B516" s="2" t="s">
        <v>29</v>
      </c>
      <c r="C516" s="30">
        <v>0.5</v>
      </c>
      <c r="D516" s="28">
        <f>YEAR(TableauFlitrage[[#This Row],[Date_d_adjudication]])</f>
        <v>2018</v>
      </c>
      <c r="E516" s="28">
        <f t="shared" si="8"/>
        <v>10</v>
      </c>
      <c r="F516" s="15">
        <v>43390</v>
      </c>
      <c r="G516" s="28">
        <v>96.966666666666669</v>
      </c>
      <c r="H516" s="15">
        <v>43574</v>
      </c>
      <c r="I516">
        <v>103.0864</v>
      </c>
      <c r="J516">
        <v>8100</v>
      </c>
      <c r="K516" s="28">
        <v>6</v>
      </c>
    </row>
    <row r="517" spans="1:12" ht="15" customHeight="1" x14ac:dyDescent="0.2">
      <c r="A517" s="28" t="s">
        <v>11</v>
      </c>
      <c r="B517" s="2" t="s">
        <v>29</v>
      </c>
      <c r="C517" s="30">
        <v>0.5</v>
      </c>
      <c r="D517" s="28">
        <f>YEAR(TableauFlitrage[[#This Row],[Date_d_adjudication]])</f>
        <v>2018</v>
      </c>
      <c r="E517" s="28">
        <f t="shared" si="8"/>
        <v>10</v>
      </c>
      <c r="F517" s="15">
        <v>43390</v>
      </c>
      <c r="G517" s="28">
        <v>96.713888888888889</v>
      </c>
      <c r="H517" s="15">
        <v>43574</v>
      </c>
      <c r="I517">
        <v>95.333299999999994</v>
      </c>
      <c r="J517">
        <v>6750</v>
      </c>
      <c r="K517" s="28">
        <v>6.5</v>
      </c>
    </row>
    <row r="518" spans="1:12" ht="15" customHeight="1" x14ac:dyDescent="0.2">
      <c r="A518" s="28" t="s">
        <v>9</v>
      </c>
      <c r="B518" s="2" t="s">
        <v>29</v>
      </c>
      <c r="C518" s="30">
        <v>0.25</v>
      </c>
      <c r="D518" s="28">
        <f>YEAR(TableauFlitrage[[#This Row],[Date_d_adjudication]])</f>
        <v>2018</v>
      </c>
      <c r="E518" s="28">
        <f t="shared" si="8"/>
        <v>10</v>
      </c>
      <c r="F518" s="15">
        <v>43397</v>
      </c>
      <c r="G518" s="28">
        <v>99.173922222222217</v>
      </c>
      <c r="H518" s="15">
        <v>43490</v>
      </c>
      <c r="I518">
        <v>144.06</v>
      </c>
      <c r="J518">
        <v>15000</v>
      </c>
      <c r="K518" s="28">
        <v>3.2679999999999998</v>
      </c>
    </row>
    <row r="519" spans="1:12" ht="15" customHeight="1" x14ac:dyDescent="0.2">
      <c r="A519" s="28" t="s">
        <v>7</v>
      </c>
      <c r="B519" s="2" t="s">
        <v>29</v>
      </c>
      <c r="C519" s="30">
        <v>0.5</v>
      </c>
      <c r="D519" s="28">
        <f>YEAR(TableauFlitrage[[#This Row],[Date_d_adjudication]])</f>
        <v>2018</v>
      </c>
      <c r="E519" s="28">
        <f t="shared" si="8"/>
        <v>10</v>
      </c>
      <c r="F519" s="15">
        <v>43397</v>
      </c>
      <c r="G519" s="28">
        <v>98.675444444444437</v>
      </c>
      <c r="H519" s="15">
        <v>43581</v>
      </c>
      <c r="I519">
        <v>234</v>
      </c>
      <c r="J519">
        <v>10000</v>
      </c>
      <c r="K519" s="28">
        <v>2.62</v>
      </c>
    </row>
    <row r="520" spans="1:12" ht="15" customHeight="1" x14ac:dyDescent="0.2">
      <c r="A520" s="28" t="s">
        <v>10</v>
      </c>
      <c r="B520" s="2" t="s">
        <v>29</v>
      </c>
      <c r="C520" s="30">
        <v>1</v>
      </c>
      <c r="D520" s="28">
        <f>YEAR(TableauFlitrage[[#This Row],[Date_d_adjudication]])</f>
        <v>2018</v>
      </c>
      <c r="E520" s="28">
        <f t="shared" si="8"/>
        <v>10</v>
      </c>
      <c r="F520" s="15">
        <v>43397</v>
      </c>
      <c r="G520" s="28">
        <v>91.89422555555555</v>
      </c>
      <c r="H520" s="15">
        <v>43763</v>
      </c>
      <c r="I520">
        <v>133.33330000000001</v>
      </c>
      <c r="J520">
        <v>15000</v>
      </c>
      <c r="K520" s="28">
        <v>8.0167000000000002</v>
      </c>
    </row>
    <row r="521" spans="1:12" ht="15" customHeight="1" x14ac:dyDescent="0.2">
      <c r="A521" s="28" t="s">
        <v>9</v>
      </c>
      <c r="B521" t="s">
        <v>30</v>
      </c>
      <c r="C521" s="30" t="s">
        <v>53</v>
      </c>
      <c r="D521" s="28">
        <f>YEAR(TableauFlitrage[[#This Row],[Date_d_adjudication]])</f>
        <v>2018</v>
      </c>
      <c r="E521" s="28">
        <f t="shared" si="8"/>
        <v>10</v>
      </c>
      <c r="F521" s="15">
        <v>43397</v>
      </c>
      <c r="G521" s="28">
        <v>91.761300000000006</v>
      </c>
      <c r="H521" s="15">
        <v>43913</v>
      </c>
      <c r="I521">
        <v>21.88</v>
      </c>
      <c r="K521" s="28">
        <v>4.5</v>
      </c>
      <c r="L521">
        <v>4.9170083522101953</v>
      </c>
    </row>
    <row r="522" spans="1:12" ht="15" customHeight="1" x14ac:dyDescent="0.2">
      <c r="A522" s="28" t="s">
        <v>9</v>
      </c>
      <c r="B522" s="2" t="s">
        <v>29</v>
      </c>
      <c r="C522" s="30">
        <v>0.5</v>
      </c>
      <c r="D522" s="28">
        <f>YEAR(TableauFlitrage[[#This Row],[Date_d_adjudication]])</f>
        <v>2018</v>
      </c>
      <c r="E522" s="28">
        <f t="shared" si="8"/>
        <v>10</v>
      </c>
      <c r="F522" s="15">
        <v>43404</v>
      </c>
      <c r="G522" s="28">
        <v>98.283638888888888</v>
      </c>
      <c r="H522" s="15">
        <v>43588</v>
      </c>
      <c r="I522">
        <v>166</v>
      </c>
      <c r="J522">
        <v>15000</v>
      </c>
      <c r="K522" s="28">
        <v>3.395</v>
      </c>
    </row>
    <row r="523" spans="1:12" ht="15" customHeight="1" x14ac:dyDescent="0.2">
      <c r="A523" s="28" t="s">
        <v>10</v>
      </c>
      <c r="B523" s="2" t="s">
        <v>29</v>
      </c>
      <c r="C523" s="30">
        <v>1</v>
      </c>
      <c r="D523" s="28">
        <f>YEAR(TableauFlitrage[[#This Row],[Date_d_adjudication]])</f>
        <v>2018</v>
      </c>
      <c r="E523" s="28">
        <f t="shared" si="8"/>
        <v>11</v>
      </c>
      <c r="F523" s="15">
        <v>43411</v>
      </c>
      <c r="G523" s="28">
        <v>90.647222222222226</v>
      </c>
      <c r="H523" s="15">
        <v>43777</v>
      </c>
      <c r="I523">
        <v>80</v>
      </c>
      <c r="J523">
        <v>12000</v>
      </c>
      <c r="K523" s="28">
        <v>9.25</v>
      </c>
    </row>
    <row r="524" spans="1:12" ht="15" customHeight="1" x14ac:dyDescent="0.2">
      <c r="A524" s="28" t="s">
        <v>7</v>
      </c>
      <c r="B524" s="2" t="s">
        <v>29</v>
      </c>
      <c r="C524" s="30">
        <v>0.5</v>
      </c>
      <c r="D524" s="28">
        <f>YEAR(TableauFlitrage[[#This Row],[Date_d_adjudication]])</f>
        <v>2018</v>
      </c>
      <c r="E524" s="28">
        <f t="shared" si="8"/>
        <v>11</v>
      </c>
      <c r="F524" s="15">
        <v>43411</v>
      </c>
      <c r="G524" s="28">
        <v>98.717152777777784</v>
      </c>
      <c r="H524" s="15">
        <v>43595</v>
      </c>
      <c r="I524">
        <v>210</v>
      </c>
      <c r="J524">
        <v>10000</v>
      </c>
      <c r="K524" s="28">
        <v>2.5375000000000001</v>
      </c>
    </row>
    <row r="525" spans="1:12" ht="15" customHeight="1" x14ac:dyDescent="0.2">
      <c r="A525" s="28" t="s">
        <v>8</v>
      </c>
      <c r="B525" s="2" t="s">
        <v>29</v>
      </c>
      <c r="C525" s="30">
        <v>0.5</v>
      </c>
      <c r="D525" s="28">
        <f>YEAR(TableauFlitrage[[#This Row],[Date_d_adjudication]])</f>
        <v>2018</v>
      </c>
      <c r="E525" s="28">
        <f t="shared" si="8"/>
        <v>11</v>
      </c>
      <c r="F525" s="15">
        <v>43411</v>
      </c>
      <c r="G525" s="28">
        <v>96.814999999999998</v>
      </c>
      <c r="H525" s="15">
        <v>43595</v>
      </c>
      <c r="I525">
        <v>42.857100000000003</v>
      </c>
      <c r="J525">
        <v>7000</v>
      </c>
      <c r="K525" s="28">
        <v>6.3</v>
      </c>
    </row>
    <row r="526" spans="1:12" ht="15" customHeight="1" x14ac:dyDescent="0.2">
      <c r="A526" s="28" t="s">
        <v>9</v>
      </c>
      <c r="B526" s="2" t="s">
        <v>29</v>
      </c>
      <c r="C526" s="30">
        <v>0.25</v>
      </c>
      <c r="D526" s="28">
        <f>YEAR(TableauFlitrage[[#This Row],[Date_d_adjudication]])</f>
        <v>2018</v>
      </c>
      <c r="E526" s="28">
        <f t="shared" si="8"/>
        <v>11</v>
      </c>
      <c r="F526" s="15">
        <v>43411</v>
      </c>
      <c r="G526" s="28">
        <v>99.146040833333331</v>
      </c>
      <c r="H526" s="15">
        <v>43504</v>
      </c>
      <c r="I526">
        <v>108.8</v>
      </c>
      <c r="J526">
        <v>15000</v>
      </c>
      <c r="K526" s="28">
        <v>3.3782999999999999</v>
      </c>
    </row>
    <row r="527" spans="1:12" ht="15" customHeight="1" x14ac:dyDescent="0.2">
      <c r="A527" s="28" t="s">
        <v>7</v>
      </c>
      <c r="B527" s="2" t="s">
        <v>29</v>
      </c>
      <c r="C527" s="30">
        <v>0.25</v>
      </c>
      <c r="D527" s="28">
        <f>YEAR(TableauFlitrage[[#This Row],[Date_d_adjudication]])</f>
        <v>2018</v>
      </c>
      <c r="E527" s="28">
        <f t="shared" si="8"/>
        <v>11</v>
      </c>
      <c r="F527" s="15">
        <v>43418</v>
      </c>
      <c r="G527" s="28">
        <v>99.336079166666664</v>
      </c>
      <c r="H527" s="15">
        <v>43511</v>
      </c>
      <c r="I527">
        <v>172</v>
      </c>
      <c r="J527">
        <v>10000</v>
      </c>
      <c r="K527" s="28">
        <v>2.6265000000000001</v>
      </c>
    </row>
    <row r="528" spans="1:12" ht="15" customHeight="1" x14ac:dyDescent="0.2">
      <c r="A528" s="28" t="s">
        <v>9</v>
      </c>
      <c r="B528" s="2" t="s">
        <v>29</v>
      </c>
      <c r="C528" s="30">
        <v>0.5</v>
      </c>
      <c r="D528" s="28">
        <f>YEAR(TableauFlitrage[[#This Row],[Date_d_adjudication]])</f>
        <v>2018</v>
      </c>
      <c r="E528" s="28">
        <f t="shared" si="8"/>
        <v>11</v>
      </c>
      <c r="F528" s="15">
        <v>43418</v>
      </c>
      <c r="G528" s="28">
        <v>98.245722222222227</v>
      </c>
      <c r="H528" s="15">
        <v>43602</v>
      </c>
      <c r="I528">
        <v>130</v>
      </c>
      <c r="J528">
        <v>15000</v>
      </c>
      <c r="K528" s="28">
        <v>3.47</v>
      </c>
    </row>
    <row r="529" spans="1:12" ht="15" customHeight="1" x14ac:dyDescent="0.2">
      <c r="A529" s="28" t="s">
        <v>11</v>
      </c>
      <c r="B529" s="2" t="s">
        <v>29</v>
      </c>
      <c r="C529" s="30">
        <v>0.5</v>
      </c>
      <c r="D529" s="28">
        <f>YEAR(TableauFlitrage[[#This Row],[Date_d_adjudication]])</f>
        <v>2018</v>
      </c>
      <c r="E529" s="28">
        <f t="shared" si="8"/>
        <v>11</v>
      </c>
      <c r="F529" s="15">
        <v>43418</v>
      </c>
      <c r="G529" s="28">
        <v>96.704283333333336</v>
      </c>
      <c r="H529" s="15">
        <v>43602</v>
      </c>
      <c r="I529">
        <v>101.4815</v>
      </c>
      <c r="J529">
        <v>20250</v>
      </c>
      <c r="K529" s="28">
        <v>6.5190000000000001</v>
      </c>
    </row>
    <row r="530" spans="1:12" ht="15" customHeight="1" x14ac:dyDescent="0.2">
      <c r="A530" s="28" t="s">
        <v>11</v>
      </c>
      <c r="B530" s="2" t="s">
        <v>29</v>
      </c>
      <c r="C530" s="30">
        <v>0.5</v>
      </c>
      <c r="D530" s="28">
        <f>YEAR(TableauFlitrage[[#This Row],[Date_d_adjudication]])</f>
        <v>2018</v>
      </c>
      <c r="E530" s="28">
        <f t="shared" si="8"/>
        <v>11</v>
      </c>
      <c r="F530" s="15">
        <v>43425</v>
      </c>
      <c r="G530" s="28">
        <v>96.76808444444444</v>
      </c>
      <c r="H530" s="15">
        <v>43609</v>
      </c>
      <c r="I530">
        <v>105.2632</v>
      </c>
      <c r="J530">
        <v>15390</v>
      </c>
      <c r="K530" s="28">
        <v>6.3928000000000003</v>
      </c>
    </row>
    <row r="531" spans="1:12" ht="15" customHeight="1" x14ac:dyDescent="0.2">
      <c r="A531" s="28" t="s">
        <v>8</v>
      </c>
      <c r="B531" s="2" t="s">
        <v>29</v>
      </c>
      <c r="C531" s="30">
        <v>0.5</v>
      </c>
      <c r="D531" s="28">
        <f>YEAR(TableauFlitrage[[#This Row],[Date_d_adjudication]])</f>
        <v>2018</v>
      </c>
      <c r="E531" s="28">
        <f t="shared" si="8"/>
        <v>11</v>
      </c>
      <c r="F531" s="15">
        <v>43425</v>
      </c>
      <c r="G531" s="28">
        <v>96.729055555555561</v>
      </c>
      <c r="H531" s="15">
        <v>43609</v>
      </c>
      <c r="I531">
        <v>66.666700000000006</v>
      </c>
      <c r="J531">
        <v>6000</v>
      </c>
      <c r="K531" s="28">
        <v>6.47</v>
      </c>
    </row>
    <row r="532" spans="1:12" ht="15" customHeight="1" x14ac:dyDescent="0.2">
      <c r="A532" s="28" t="s">
        <v>9</v>
      </c>
      <c r="B532" s="2" t="s">
        <v>29</v>
      </c>
      <c r="C532" s="30">
        <v>0.25</v>
      </c>
      <c r="D532" s="28">
        <f>YEAR(TableauFlitrage[[#This Row],[Date_d_adjudication]])</f>
        <v>2018</v>
      </c>
      <c r="E532" s="28">
        <f t="shared" si="8"/>
        <v>11</v>
      </c>
      <c r="F532" s="15">
        <v>43425</v>
      </c>
      <c r="G532" s="28">
        <v>99.111182777777785</v>
      </c>
      <c r="H532" s="15">
        <v>43518</v>
      </c>
      <c r="I532">
        <v>108.8235</v>
      </c>
      <c r="J532">
        <v>17000</v>
      </c>
      <c r="K532" s="28">
        <v>3.5162</v>
      </c>
    </row>
    <row r="533" spans="1:12" ht="15" customHeight="1" x14ac:dyDescent="0.2">
      <c r="A533" s="28" t="s">
        <v>9</v>
      </c>
      <c r="B533" s="2" t="s">
        <v>29</v>
      </c>
      <c r="C533" s="30">
        <v>0.25</v>
      </c>
      <c r="D533" s="28">
        <f>YEAR(TableauFlitrage[[#This Row],[Date_d_adjudication]])</f>
        <v>2018</v>
      </c>
      <c r="E533" s="28">
        <f t="shared" si="8"/>
        <v>11</v>
      </c>
      <c r="F533" s="15">
        <v>43432</v>
      </c>
      <c r="G533" s="28">
        <v>99.039899444444444</v>
      </c>
      <c r="H533" s="15">
        <v>43525</v>
      </c>
      <c r="I533">
        <v>200</v>
      </c>
      <c r="J533">
        <v>14000</v>
      </c>
      <c r="K533" s="28">
        <v>3.7982</v>
      </c>
    </row>
    <row r="534" spans="1:12" ht="15" customHeight="1" x14ac:dyDescent="0.2">
      <c r="A534" s="28" t="s">
        <v>9</v>
      </c>
      <c r="B534" t="s">
        <v>30</v>
      </c>
      <c r="C534" s="30" t="s">
        <v>53</v>
      </c>
      <c r="D534" s="28">
        <f>YEAR(TableauFlitrage[[#This Row],[Date_d_adjudication]])</f>
        <v>2018</v>
      </c>
      <c r="E534" s="28">
        <f t="shared" si="8"/>
        <v>11</v>
      </c>
      <c r="F534" s="15">
        <v>43432</v>
      </c>
      <c r="G534" s="28">
        <v>101.7735</v>
      </c>
      <c r="H534" s="15">
        <v>43913</v>
      </c>
      <c r="I534">
        <v>136.66669999999999</v>
      </c>
      <c r="J534">
        <v>15000</v>
      </c>
      <c r="K534" s="28">
        <v>4.5</v>
      </c>
      <c r="L534">
        <v>4.4188684205100195</v>
      </c>
    </row>
    <row r="535" spans="1:12" ht="15" customHeight="1" x14ac:dyDescent="0.2">
      <c r="A535" s="28" t="s">
        <v>10</v>
      </c>
      <c r="B535" s="2" t="s">
        <v>29</v>
      </c>
      <c r="C535" s="30">
        <v>1</v>
      </c>
      <c r="D535" s="28">
        <f>YEAR(TableauFlitrage[[#This Row],[Date_d_adjudication]])</f>
        <v>2018</v>
      </c>
      <c r="E535" s="28">
        <f t="shared" si="8"/>
        <v>12</v>
      </c>
      <c r="F535" s="15">
        <v>43439</v>
      </c>
      <c r="G535" s="28">
        <v>91.72152777777778</v>
      </c>
      <c r="H535" s="15">
        <v>43805</v>
      </c>
      <c r="I535">
        <v>53.52</v>
      </c>
      <c r="J535">
        <v>15000</v>
      </c>
      <c r="K535" s="28">
        <v>8.1875</v>
      </c>
    </row>
    <row r="536" spans="1:12" ht="15" customHeight="1" x14ac:dyDescent="0.2">
      <c r="A536" s="28" t="s">
        <v>9</v>
      </c>
      <c r="B536" s="2" t="s">
        <v>29</v>
      </c>
      <c r="C536" s="30">
        <v>0.25</v>
      </c>
      <c r="D536" s="28">
        <f>YEAR(TableauFlitrage[[#This Row],[Date_d_adjudication]])</f>
        <v>2018</v>
      </c>
      <c r="E536" s="28">
        <f t="shared" si="8"/>
        <v>12</v>
      </c>
      <c r="F536" s="15">
        <v>43439</v>
      </c>
      <c r="G536" s="28">
        <v>99.026805555555555</v>
      </c>
      <c r="H536" s="15">
        <v>43532</v>
      </c>
      <c r="I536">
        <v>131.33330000000001</v>
      </c>
      <c r="J536">
        <v>15000</v>
      </c>
      <c r="K536" s="28">
        <v>3.85</v>
      </c>
    </row>
    <row r="537" spans="1:12" ht="15" customHeight="1" x14ac:dyDescent="0.2">
      <c r="A537" s="28" t="s">
        <v>8</v>
      </c>
      <c r="B537" s="2" t="s">
        <v>29</v>
      </c>
      <c r="C537" s="30">
        <v>0.5</v>
      </c>
      <c r="D537" s="28">
        <f>YEAR(TableauFlitrage[[#This Row],[Date_d_adjudication]])</f>
        <v>2018</v>
      </c>
      <c r="E537" s="28">
        <f t="shared" si="8"/>
        <v>12</v>
      </c>
      <c r="F537" s="15">
        <v>43446</v>
      </c>
      <c r="G537" s="28">
        <v>96.729813888888884</v>
      </c>
      <c r="H537" s="15">
        <v>43630</v>
      </c>
      <c r="I537">
        <v>84.555599999999998</v>
      </c>
      <c r="J537">
        <v>9000</v>
      </c>
      <c r="K537" s="28">
        <v>6.4684999999999997</v>
      </c>
    </row>
    <row r="538" spans="1:12" ht="15" customHeight="1" x14ac:dyDescent="0.2">
      <c r="A538" s="28" t="s">
        <v>9</v>
      </c>
      <c r="B538" s="2" t="s">
        <v>29</v>
      </c>
      <c r="C538" s="30">
        <v>0.5</v>
      </c>
      <c r="D538" s="28">
        <f>YEAR(TableauFlitrage[[#This Row],[Date_d_adjudication]])</f>
        <v>2018</v>
      </c>
      <c r="E538" s="28">
        <f t="shared" si="8"/>
        <v>12</v>
      </c>
      <c r="F538" s="15">
        <v>43446</v>
      </c>
      <c r="G538" s="28">
        <v>98.040315000000007</v>
      </c>
      <c r="H538" s="15">
        <v>43630</v>
      </c>
      <c r="I538">
        <v>146.66669999999999</v>
      </c>
      <c r="J538">
        <v>15000</v>
      </c>
      <c r="K538" s="28">
        <v>3.8763000000000001</v>
      </c>
    </row>
    <row r="539" spans="1:12" ht="15" customHeight="1" x14ac:dyDescent="0.2">
      <c r="A539" s="28" t="s">
        <v>14</v>
      </c>
      <c r="B539" s="2" t="s">
        <v>29</v>
      </c>
      <c r="C539" s="30">
        <v>0.5</v>
      </c>
      <c r="D539" s="28">
        <f>YEAR(TableauFlitrage[[#This Row],[Date_d_adjudication]])</f>
        <v>2018</v>
      </c>
      <c r="E539" s="28">
        <f t="shared" si="8"/>
        <v>12</v>
      </c>
      <c r="F539" s="15">
        <v>43446</v>
      </c>
      <c r="G539" s="28">
        <v>97.40902777777778</v>
      </c>
      <c r="H539" s="15">
        <v>43630</v>
      </c>
      <c r="I539">
        <v>100</v>
      </c>
      <c r="J539">
        <v>4000</v>
      </c>
      <c r="K539" s="28">
        <v>5.125</v>
      </c>
    </row>
    <row r="540" spans="1:12" ht="15" customHeight="1" x14ac:dyDescent="0.2">
      <c r="A540" s="28" t="s">
        <v>11</v>
      </c>
      <c r="B540" s="2" t="s">
        <v>29</v>
      </c>
      <c r="C540" s="30">
        <v>0.5</v>
      </c>
      <c r="D540" s="28">
        <f>YEAR(TableauFlitrage[[#This Row],[Date_d_adjudication]])</f>
        <v>2018</v>
      </c>
      <c r="E540" s="28">
        <f t="shared" si="8"/>
        <v>12</v>
      </c>
      <c r="F540" s="15">
        <v>43446</v>
      </c>
      <c r="G540" s="28">
        <v>96.864594999999994</v>
      </c>
      <c r="H540" s="15">
        <v>43630</v>
      </c>
      <c r="I540">
        <v>102.5641</v>
      </c>
      <c r="J540">
        <v>11700</v>
      </c>
      <c r="K540" s="28">
        <v>6.2019000000000002</v>
      </c>
    </row>
    <row r="541" spans="1:12" ht="15" customHeight="1" x14ac:dyDescent="0.2">
      <c r="A541" s="28" t="s">
        <v>9</v>
      </c>
      <c r="B541" t="s">
        <v>30</v>
      </c>
      <c r="C541" s="30" t="s">
        <v>53</v>
      </c>
      <c r="D541" s="28">
        <f>YEAR(TableauFlitrage[[#This Row],[Date_d_adjudication]])</f>
        <v>2018</v>
      </c>
      <c r="E541" s="28">
        <f t="shared" si="8"/>
        <v>12</v>
      </c>
      <c r="F541" s="15">
        <v>43446</v>
      </c>
      <c r="G541" s="28">
        <v>99.391000000000005</v>
      </c>
      <c r="H541" s="15">
        <v>43913</v>
      </c>
      <c r="I541">
        <v>93.6</v>
      </c>
      <c r="J541">
        <v>12500</v>
      </c>
      <c r="K541" s="28">
        <v>4.5</v>
      </c>
      <c r="L541">
        <v>4.5285114661114054</v>
      </c>
    </row>
    <row r="542" spans="1:12" ht="15" customHeight="1" x14ac:dyDescent="0.2">
      <c r="A542" s="28" t="s">
        <v>8</v>
      </c>
      <c r="B542" s="2" t="s">
        <v>29</v>
      </c>
      <c r="C542" s="30">
        <v>0.5</v>
      </c>
      <c r="D542" s="28">
        <f>YEAR(TableauFlitrage[[#This Row],[Date_d_adjudication]])</f>
        <v>2018</v>
      </c>
      <c r="E542" s="28">
        <f t="shared" si="8"/>
        <v>12</v>
      </c>
      <c r="F542" s="15">
        <v>43453</v>
      </c>
      <c r="G542" s="28">
        <v>96.781279444444451</v>
      </c>
      <c r="H542" s="15">
        <v>43637</v>
      </c>
      <c r="I542">
        <v>51.666699999999999</v>
      </c>
      <c r="J542">
        <v>6000</v>
      </c>
      <c r="K542" s="28">
        <v>6.3666999999999998</v>
      </c>
    </row>
    <row r="543" spans="1:12" ht="15" customHeight="1" x14ac:dyDescent="0.2">
      <c r="A543" s="28" t="s">
        <v>7</v>
      </c>
      <c r="B543" s="2" t="s">
        <v>29</v>
      </c>
      <c r="C543" s="30">
        <v>0.25</v>
      </c>
      <c r="D543" s="28">
        <f>YEAR(TableauFlitrage[[#This Row],[Date_d_adjudication]])</f>
        <v>2018</v>
      </c>
      <c r="E543" s="28">
        <f t="shared" si="8"/>
        <v>12</v>
      </c>
      <c r="F543" s="15">
        <v>43453</v>
      </c>
      <c r="G543" s="28">
        <v>99.346569444444441</v>
      </c>
      <c r="H543" s="15">
        <v>43546</v>
      </c>
      <c r="I543">
        <v>210</v>
      </c>
      <c r="J543">
        <v>10000</v>
      </c>
      <c r="K543" s="28">
        <v>2.585</v>
      </c>
    </row>
    <row r="544" spans="1:12" ht="15" customHeight="1" x14ac:dyDescent="0.2">
      <c r="A544" s="28" t="s">
        <v>9</v>
      </c>
      <c r="B544" s="2" t="s">
        <v>29</v>
      </c>
      <c r="C544" s="30">
        <v>0.5</v>
      </c>
      <c r="D544" s="28">
        <f>YEAR(TableauFlitrage[[#This Row],[Date_d_adjudication]])</f>
        <v>2018</v>
      </c>
      <c r="E544" s="28">
        <f t="shared" si="8"/>
        <v>12</v>
      </c>
      <c r="F544" s="15">
        <v>43453</v>
      </c>
      <c r="G544" s="28">
        <v>97.962914444444451</v>
      </c>
      <c r="H544" s="15">
        <v>43637</v>
      </c>
      <c r="I544">
        <v>111.7647</v>
      </c>
      <c r="J544">
        <v>17000</v>
      </c>
      <c r="K544" s="28">
        <v>4.0293999999999999</v>
      </c>
    </row>
    <row r="545" spans="1:11" ht="15" customHeight="1" x14ac:dyDescent="0.2">
      <c r="A545" s="28" t="s">
        <v>11</v>
      </c>
      <c r="B545" s="2" t="s">
        <v>29</v>
      </c>
      <c r="C545" s="30">
        <v>0.5</v>
      </c>
      <c r="D545" s="28">
        <f>YEAR(TableauFlitrage[[#This Row],[Date_d_adjudication]])</f>
        <v>2018</v>
      </c>
      <c r="E545" s="28">
        <f t="shared" si="8"/>
        <v>12</v>
      </c>
      <c r="F545" s="15">
        <v>43453</v>
      </c>
      <c r="G545" s="28">
        <v>96.713888888888889</v>
      </c>
      <c r="H545" s="15">
        <v>43637</v>
      </c>
      <c r="I545">
        <v>106.995</v>
      </c>
      <c r="J545">
        <v>12150</v>
      </c>
      <c r="K545" s="28">
        <v>6.5</v>
      </c>
    </row>
    <row r="546" spans="1:11" ht="15" customHeight="1" x14ac:dyDescent="0.2">
      <c r="A546" s="28" t="s">
        <v>7</v>
      </c>
      <c r="B546" s="2" t="s">
        <v>29</v>
      </c>
      <c r="C546" s="30">
        <v>0.25</v>
      </c>
      <c r="D546" s="28">
        <f>YEAR(TableauFlitrage[[#This Row],[Date_d_adjudication]])</f>
        <v>2018</v>
      </c>
      <c r="E546" s="28">
        <f t="shared" si="8"/>
        <v>12</v>
      </c>
      <c r="F546" s="15">
        <v>43460</v>
      </c>
      <c r="G546" s="28">
        <v>99.342777777777783</v>
      </c>
      <c r="H546" s="15">
        <v>43553</v>
      </c>
      <c r="I546">
        <v>110</v>
      </c>
      <c r="J546">
        <v>10000</v>
      </c>
      <c r="K546" s="28">
        <v>2.6</v>
      </c>
    </row>
    <row r="547" spans="1:11" ht="15" customHeight="1" x14ac:dyDescent="0.2">
      <c r="A547" s="28" t="s">
        <v>9</v>
      </c>
      <c r="B547" s="2" t="s">
        <v>29</v>
      </c>
      <c r="C547" s="30">
        <v>0.25</v>
      </c>
      <c r="D547" s="28">
        <f>YEAR(TableauFlitrage[[#This Row],[Date_d_adjudication]])</f>
        <v>2018</v>
      </c>
      <c r="E547" s="28">
        <f t="shared" si="8"/>
        <v>12</v>
      </c>
      <c r="F547" s="15">
        <v>43460</v>
      </c>
      <c r="G547" s="28">
        <v>99.005572222222227</v>
      </c>
      <c r="H547" s="15">
        <v>43553</v>
      </c>
      <c r="I547">
        <v>124.7667</v>
      </c>
      <c r="J547">
        <v>12000</v>
      </c>
      <c r="K547" s="28">
        <v>3.9340000000000002</v>
      </c>
    </row>
    <row r="548" spans="1:11" ht="15" customHeight="1" x14ac:dyDescent="0.2">
      <c r="A548" s="28" t="s">
        <v>11</v>
      </c>
      <c r="B548" s="2" t="s">
        <v>29</v>
      </c>
      <c r="C548" s="30">
        <v>0.5</v>
      </c>
      <c r="D548" s="28">
        <f>YEAR(TableauFlitrage[[#This Row],[Date_d_adjudication]])</f>
        <v>2018</v>
      </c>
      <c r="E548" s="28">
        <f t="shared" si="8"/>
        <v>12</v>
      </c>
      <c r="F548" s="15">
        <v>43460</v>
      </c>
      <c r="G548" s="28">
        <v>96.840277777777771</v>
      </c>
      <c r="H548" s="15">
        <v>43644</v>
      </c>
      <c r="I548">
        <v>100</v>
      </c>
      <c r="J548">
        <v>27000</v>
      </c>
      <c r="K548" s="28">
        <v>6.25</v>
      </c>
    </row>
    <row r="549" spans="1:11" ht="15" customHeight="1" x14ac:dyDescent="0.2">
      <c r="A549" s="28" t="s">
        <v>11</v>
      </c>
      <c r="B549" s="2" t="s">
        <v>29</v>
      </c>
      <c r="C549" s="30">
        <v>0.5</v>
      </c>
      <c r="D549" s="28">
        <f>YEAR(TableauFlitrage[[#This Row],[Date_d_adjudication]])</f>
        <v>2018</v>
      </c>
      <c r="E549" s="28">
        <f t="shared" si="8"/>
        <v>12</v>
      </c>
      <c r="F549" s="15">
        <v>43460</v>
      </c>
      <c r="G549" s="28">
        <v>96.840277777777771</v>
      </c>
      <c r="H549" s="15">
        <v>43644</v>
      </c>
      <c r="I549">
        <v>100</v>
      </c>
      <c r="J549">
        <v>13500</v>
      </c>
      <c r="K549" s="28">
        <v>6.25</v>
      </c>
    </row>
    <row r="550" spans="1:11" ht="15" customHeight="1" x14ac:dyDescent="0.2">
      <c r="A550" s="28" t="s">
        <v>9</v>
      </c>
      <c r="B550" s="2" t="s">
        <v>29</v>
      </c>
      <c r="C550" s="30">
        <v>0.5</v>
      </c>
      <c r="D550" s="28">
        <f>YEAR(TableauFlitrage[[#This Row],[Date_d_adjudication]])</f>
        <v>2019</v>
      </c>
      <c r="E550" s="28">
        <f t="shared" si="8"/>
        <v>1</v>
      </c>
      <c r="F550" s="15">
        <v>43467</v>
      </c>
      <c r="G550" s="28">
        <v>97.879801111111107</v>
      </c>
      <c r="H550" s="15">
        <v>43651</v>
      </c>
      <c r="I550">
        <v>161.875</v>
      </c>
      <c r="J550">
        <v>8000</v>
      </c>
      <c r="K550" s="28">
        <v>4.1938000000000004</v>
      </c>
    </row>
    <row r="551" spans="1:11" ht="15" customHeight="1" x14ac:dyDescent="0.2">
      <c r="A551" s="28" t="s">
        <v>7</v>
      </c>
      <c r="B551" s="2" t="s">
        <v>29</v>
      </c>
      <c r="C551" s="30">
        <v>0.25</v>
      </c>
      <c r="D551" s="28">
        <f>YEAR(TableauFlitrage[[#This Row],[Date_d_adjudication]])</f>
        <v>2019</v>
      </c>
      <c r="E551" s="28">
        <f t="shared" si="8"/>
        <v>1</v>
      </c>
      <c r="F551" s="15">
        <v>43474</v>
      </c>
      <c r="G551" s="28">
        <v>99.366791666666671</v>
      </c>
      <c r="H551" s="15">
        <v>43567</v>
      </c>
      <c r="I551">
        <v>430</v>
      </c>
      <c r="J551">
        <v>5000</v>
      </c>
      <c r="K551" s="28">
        <v>2.5049999999999999</v>
      </c>
    </row>
    <row r="552" spans="1:11" ht="15" customHeight="1" x14ac:dyDescent="0.2">
      <c r="A552" s="28" t="s">
        <v>8</v>
      </c>
      <c r="B552" s="2" t="s">
        <v>29</v>
      </c>
      <c r="C552" s="30">
        <v>0.5</v>
      </c>
      <c r="D552" s="28">
        <f>YEAR(TableauFlitrage[[#This Row],[Date_d_adjudication]])</f>
        <v>2019</v>
      </c>
      <c r="E552" s="28">
        <f t="shared" si="8"/>
        <v>1</v>
      </c>
      <c r="F552" s="15">
        <v>43474</v>
      </c>
      <c r="G552" s="28">
        <v>96.756001666666663</v>
      </c>
      <c r="H552" s="15">
        <v>43658</v>
      </c>
      <c r="I552">
        <v>37.5</v>
      </c>
      <c r="J552">
        <v>8000</v>
      </c>
      <c r="K552" s="28">
        <v>6.4166999999999996</v>
      </c>
    </row>
    <row r="553" spans="1:11" ht="15" customHeight="1" x14ac:dyDescent="0.2">
      <c r="A553" s="28" t="s">
        <v>9</v>
      </c>
      <c r="B553" s="2" t="s">
        <v>29</v>
      </c>
      <c r="C553" s="30">
        <v>0.25</v>
      </c>
      <c r="D553" s="28">
        <f>YEAR(TableauFlitrage[[#This Row],[Date_d_adjudication]])</f>
        <v>2019</v>
      </c>
      <c r="E553" s="28">
        <f t="shared" si="8"/>
        <v>1</v>
      </c>
      <c r="F553" s="15">
        <v>43474</v>
      </c>
      <c r="G553" s="28">
        <v>98.938965277777783</v>
      </c>
      <c r="H553" s="15">
        <v>43567</v>
      </c>
      <c r="I553">
        <v>96.54</v>
      </c>
      <c r="J553">
        <v>15000</v>
      </c>
      <c r="K553" s="28">
        <v>4.1974999999999998</v>
      </c>
    </row>
    <row r="554" spans="1:11" ht="15" customHeight="1" x14ac:dyDescent="0.2">
      <c r="A554" s="28" t="s">
        <v>11</v>
      </c>
      <c r="B554" s="2" t="s">
        <v>29</v>
      </c>
      <c r="C554" s="30">
        <v>0.5</v>
      </c>
      <c r="D554" s="28">
        <f>YEAR(TableauFlitrage[[#This Row],[Date_d_adjudication]])</f>
        <v>2019</v>
      </c>
      <c r="E554" s="28">
        <f t="shared" si="8"/>
        <v>1</v>
      </c>
      <c r="F554" s="15">
        <v>43474</v>
      </c>
      <c r="G554" s="28">
        <v>96.840277777777771</v>
      </c>
      <c r="H554" s="15">
        <v>43658</v>
      </c>
      <c r="I554">
        <v>100</v>
      </c>
      <c r="J554">
        <v>20250</v>
      </c>
      <c r="K554" s="28">
        <v>6.25</v>
      </c>
    </row>
    <row r="555" spans="1:11" ht="15" customHeight="1" x14ac:dyDescent="0.2">
      <c r="A555" s="28" t="s">
        <v>10</v>
      </c>
      <c r="B555" s="2" t="s">
        <v>29</v>
      </c>
      <c r="C555" s="30">
        <v>1</v>
      </c>
      <c r="D555" s="28">
        <f>YEAR(TableauFlitrage[[#This Row],[Date_d_adjudication]])</f>
        <v>2019</v>
      </c>
      <c r="E555" s="28">
        <f t="shared" si="8"/>
        <v>1</v>
      </c>
      <c r="F555" s="15">
        <v>43474</v>
      </c>
      <c r="G555" s="28">
        <v>91.739222222222224</v>
      </c>
      <c r="H555" s="15">
        <v>43840</v>
      </c>
      <c r="I555">
        <v>143.33330000000001</v>
      </c>
      <c r="J555">
        <v>15000</v>
      </c>
      <c r="K555" s="28">
        <v>8.17</v>
      </c>
    </row>
    <row r="556" spans="1:11" ht="15" customHeight="1" x14ac:dyDescent="0.2">
      <c r="A556" s="28" t="s">
        <v>11</v>
      </c>
      <c r="B556" s="2" t="s">
        <v>29</v>
      </c>
      <c r="C556" s="30">
        <v>0.5</v>
      </c>
      <c r="D556" s="28">
        <f>YEAR(TableauFlitrage[[#This Row],[Date_d_adjudication]])</f>
        <v>2019</v>
      </c>
      <c r="E556" s="28">
        <f t="shared" si="8"/>
        <v>1</v>
      </c>
      <c r="F556" s="15">
        <v>43481</v>
      </c>
      <c r="G556" s="28">
        <v>96.842856111111104</v>
      </c>
      <c r="H556" s="15">
        <v>43665</v>
      </c>
      <c r="I556">
        <v>102.9819</v>
      </c>
      <c r="J556">
        <v>16600</v>
      </c>
      <c r="K556" s="28">
        <v>6.2449000000000003</v>
      </c>
    </row>
    <row r="557" spans="1:11" ht="15" customHeight="1" x14ac:dyDescent="0.2">
      <c r="A557" s="28" t="s">
        <v>9</v>
      </c>
      <c r="B557" s="2" t="s">
        <v>29</v>
      </c>
      <c r="C557" s="30">
        <v>0.5</v>
      </c>
      <c r="D557" s="28">
        <f>YEAR(TableauFlitrage[[#This Row],[Date_d_adjudication]])</f>
        <v>2019</v>
      </c>
      <c r="E557" s="28">
        <f t="shared" si="8"/>
        <v>1</v>
      </c>
      <c r="F557" s="15">
        <v>43481</v>
      </c>
      <c r="G557" s="28">
        <v>97.738195000000005</v>
      </c>
      <c r="H557" s="15">
        <v>43665</v>
      </c>
      <c r="I557">
        <v>158.6</v>
      </c>
      <c r="J557">
        <v>15000</v>
      </c>
      <c r="K557" s="28">
        <v>4.4739000000000004</v>
      </c>
    </row>
    <row r="558" spans="1:11" ht="15" customHeight="1" x14ac:dyDescent="0.2">
      <c r="A558" s="28" t="s">
        <v>7</v>
      </c>
      <c r="B558" s="2" t="s">
        <v>29</v>
      </c>
      <c r="C558" s="30">
        <v>0.5</v>
      </c>
      <c r="D558" s="28">
        <f>YEAR(TableauFlitrage[[#This Row],[Date_d_adjudication]])</f>
        <v>2019</v>
      </c>
      <c r="E558" s="28">
        <f t="shared" si="8"/>
        <v>1</v>
      </c>
      <c r="F558" s="15">
        <v>43481</v>
      </c>
      <c r="G558" s="28">
        <v>98.74015555555556</v>
      </c>
      <c r="H558" s="15">
        <v>43665</v>
      </c>
      <c r="I558">
        <v>317</v>
      </c>
      <c r="J558">
        <v>10000</v>
      </c>
      <c r="K558" s="28">
        <v>2.492</v>
      </c>
    </row>
    <row r="559" spans="1:11" ht="15" customHeight="1" x14ac:dyDescent="0.2">
      <c r="A559" s="28" t="s">
        <v>7</v>
      </c>
      <c r="B559" s="2" t="s">
        <v>29</v>
      </c>
      <c r="C559" s="30">
        <v>0.5</v>
      </c>
      <c r="D559" s="28">
        <f>YEAR(TableauFlitrage[[#This Row],[Date_d_adjudication]])</f>
        <v>2019</v>
      </c>
      <c r="E559" s="28">
        <f t="shared" si="8"/>
        <v>1</v>
      </c>
      <c r="F559" s="15">
        <v>43488</v>
      </c>
      <c r="G559" s="28">
        <v>98.758507222222221</v>
      </c>
      <c r="H559" s="15">
        <v>43672</v>
      </c>
      <c r="I559">
        <v>434.28570000000002</v>
      </c>
      <c r="J559">
        <v>7000</v>
      </c>
      <c r="K559" s="28">
        <v>2.4557000000000002</v>
      </c>
    </row>
    <row r="560" spans="1:11" ht="15" customHeight="1" x14ac:dyDescent="0.2">
      <c r="A560" s="28" t="s">
        <v>9</v>
      </c>
      <c r="B560" s="2" t="s">
        <v>29</v>
      </c>
      <c r="C560" s="30">
        <v>0.25</v>
      </c>
      <c r="D560" s="28">
        <f>YEAR(TableauFlitrage[[#This Row],[Date_d_adjudication]])</f>
        <v>2019</v>
      </c>
      <c r="E560" s="28">
        <f t="shared" si="8"/>
        <v>1</v>
      </c>
      <c r="F560" s="15">
        <v>43488</v>
      </c>
      <c r="G560" s="28">
        <v>98.99010222222222</v>
      </c>
      <c r="H560" s="15">
        <v>43581</v>
      </c>
      <c r="I560">
        <v>140.48670000000001</v>
      </c>
      <c r="J560">
        <v>15000</v>
      </c>
      <c r="K560" s="28">
        <v>3.9952000000000001</v>
      </c>
    </row>
    <row r="561" spans="1:12" ht="15" customHeight="1" x14ac:dyDescent="0.2">
      <c r="A561" s="28" t="s">
        <v>11</v>
      </c>
      <c r="B561" s="2" t="s">
        <v>29</v>
      </c>
      <c r="C561" s="30">
        <v>0.5</v>
      </c>
      <c r="D561" s="28">
        <f>YEAR(TableauFlitrage[[#This Row],[Date_d_adjudication]])</f>
        <v>2019</v>
      </c>
      <c r="E561" s="28">
        <f t="shared" si="8"/>
        <v>1</v>
      </c>
      <c r="F561" s="15">
        <v>43488</v>
      </c>
      <c r="G561" s="28">
        <v>96.713888888888889</v>
      </c>
      <c r="H561" s="15">
        <v>43672</v>
      </c>
      <c r="I561">
        <v>100</v>
      </c>
      <c r="J561">
        <v>5400</v>
      </c>
      <c r="K561" s="28">
        <v>6.5</v>
      </c>
    </row>
    <row r="562" spans="1:12" ht="15" customHeight="1" x14ac:dyDescent="0.2">
      <c r="A562" s="28" t="s">
        <v>10</v>
      </c>
      <c r="B562" s="2" t="s">
        <v>29</v>
      </c>
      <c r="C562" s="30">
        <v>1</v>
      </c>
      <c r="D562" s="28">
        <f>YEAR(TableauFlitrage[[#This Row],[Date_d_adjudication]])</f>
        <v>2019</v>
      </c>
      <c r="E562" s="28">
        <f t="shared" si="8"/>
        <v>1</v>
      </c>
      <c r="F562" s="15">
        <v>43488</v>
      </c>
      <c r="G562" s="28">
        <v>90.596666666666664</v>
      </c>
      <c r="H562" s="15">
        <v>43854</v>
      </c>
      <c r="I562">
        <v>120</v>
      </c>
      <c r="J562">
        <v>15000</v>
      </c>
      <c r="K562" s="28">
        <v>9.3000000000000007</v>
      </c>
    </row>
    <row r="563" spans="1:12" ht="15" customHeight="1" x14ac:dyDescent="0.2">
      <c r="A563" s="28" t="s">
        <v>8</v>
      </c>
      <c r="B563" s="2" t="s">
        <v>29</v>
      </c>
      <c r="C563" s="30">
        <v>0.5</v>
      </c>
      <c r="D563" s="28">
        <f>YEAR(TableauFlitrage[[#This Row],[Date_d_adjudication]])</f>
        <v>2019</v>
      </c>
      <c r="E563" s="28">
        <f t="shared" si="8"/>
        <v>1</v>
      </c>
      <c r="F563" s="15">
        <v>43495</v>
      </c>
      <c r="G563" s="28">
        <v>96.681634444444441</v>
      </c>
      <c r="H563" s="15">
        <v>43679</v>
      </c>
      <c r="I563">
        <v>101</v>
      </c>
      <c r="J563">
        <v>8000</v>
      </c>
      <c r="K563" s="28">
        <v>6.5637999999999996</v>
      </c>
    </row>
    <row r="564" spans="1:12" ht="15" customHeight="1" x14ac:dyDescent="0.2">
      <c r="A564" s="28" t="s">
        <v>7</v>
      </c>
      <c r="B564" s="2" t="s">
        <v>29</v>
      </c>
      <c r="C564" s="30">
        <v>1</v>
      </c>
      <c r="D564" s="28">
        <f>YEAR(TableauFlitrage[[#This Row],[Date_d_adjudication]])</f>
        <v>2019</v>
      </c>
      <c r="E564" s="28">
        <f t="shared" si="8"/>
        <v>1</v>
      </c>
      <c r="F564" s="15">
        <v>43495</v>
      </c>
      <c r="G564" s="28">
        <v>97.246238888888882</v>
      </c>
      <c r="H564" s="15">
        <v>43861</v>
      </c>
      <c r="I564">
        <v>235</v>
      </c>
      <c r="J564">
        <v>10000</v>
      </c>
      <c r="K564" s="28">
        <v>2.7235</v>
      </c>
    </row>
    <row r="565" spans="1:12" ht="15" customHeight="1" x14ac:dyDescent="0.2">
      <c r="A565" s="28" t="s">
        <v>9</v>
      </c>
      <c r="B565" s="2" t="s">
        <v>29</v>
      </c>
      <c r="C565" s="30">
        <v>1</v>
      </c>
      <c r="D565" s="28">
        <f>YEAR(TableauFlitrage[[#This Row],[Date_d_adjudication]])</f>
        <v>2019</v>
      </c>
      <c r="E565" s="28">
        <f t="shared" si="8"/>
        <v>1</v>
      </c>
      <c r="F565" s="15">
        <v>43495</v>
      </c>
      <c r="G565" s="28">
        <v>95.298333333333332</v>
      </c>
      <c r="H565" s="15">
        <v>43861</v>
      </c>
      <c r="I565">
        <v>200</v>
      </c>
      <c r="J565">
        <v>5000</v>
      </c>
      <c r="K565" s="28">
        <v>4.6500000000000004</v>
      </c>
    </row>
    <row r="566" spans="1:12" ht="15" customHeight="1" x14ac:dyDescent="0.2">
      <c r="A566" s="28" t="s">
        <v>11</v>
      </c>
      <c r="B566" s="2" t="s">
        <v>29</v>
      </c>
      <c r="C566" s="30">
        <v>0.5</v>
      </c>
      <c r="D566" s="28">
        <f>YEAR(TableauFlitrage[[#This Row],[Date_d_adjudication]])</f>
        <v>2019</v>
      </c>
      <c r="E566" s="28">
        <f t="shared" si="8"/>
        <v>1</v>
      </c>
      <c r="F566" s="15">
        <v>43495</v>
      </c>
      <c r="G566" s="28">
        <v>96.713888888888889</v>
      </c>
      <c r="H566" s="15">
        <v>43679</v>
      </c>
      <c r="I566">
        <v>112.8205</v>
      </c>
      <c r="J566">
        <v>10530</v>
      </c>
      <c r="K566" s="28">
        <v>6.5</v>
      </c>
    </row>
    <row r="567" spans="1:12" ht="15" customHeight="1" x14ac:dyDescent="0.2">
      <c r="A567" s="28" t="s">
        <v>9</v>
      </c>
      <c r="B567" s="2" t="s">
        <v>29</v>
      </c>
      <c r="C567" s="30">
        <v>0.25</v>
      </c>
      <c r="D567" s="28">
        <f>YEAR(TableauFlitrage[[#This Row],[Date_d_adjudication]])</f>
        <v>2019</v>
      </c>
      <c r="E567" s="28">
        <f t="shared" si="8"/>
        <v>2</v>
      </c>
      <c r="F567" s="15">
        <v>43502</v>
      </c>
      <c r="G567" s="28">
        <v>99.0319875</v>
      </c>
      <c r="H567" s="15">
        <v>43595</v>
      </c>
      <c r="I567">
        <v>298.20999999999998</v>
      </c>
      <c r="J567">
        <v>10000</v>
      </c>
      <c r="K567" s="28">
        <v>3.8294999999999999</v>
      </c>
    </row>
    <row r="568" spans="1:12" ht="15" customHeight="1" x14ac:dyDescent="0.2">
      <c r="A568" s="28" t="s">
        <v>7</v>
      </c>
      <c r="B568" s="2" t="s">
        <v>29</v>
      </c>
      <c r="C568" s="30">
        <v>1</v>
      </c>
      <c r="D568" s="28">
        <f>YEAR(TableauFlitrage[[#This Row],[Date_d_adjudication]])</f>
        <v>2019</v>
      </c>
      <c r="E568" s="28">
        <f t="shared" si="8"/>
        <v>2</v>
      </c>
      <c r="F568" s="15">
        <v>43502</v>
      </c>
      <c r="G568" s="28">
        <v>97.280111111111111</v>
      </c>
      <c r="H568" s="15">
        <v>43868</v>
      </c>
      <c r="I568">
        <v>235</v>
      </c>
      <c r="J568">
        <v>10000</v>
      </c>
      <c r="K568" s="28">
        <v>2.69</v>
      </c>
    </row>
    <row r="569" spans="1:12" ht="15" customHeight="1" x14ac:dyDescent="0.2">
      <c r="A569" s="28" t="s">
        <v>10</v>
      </c>
      <c r="B569" s="2" t="s">
        <v>29</v>
      </c>
      <c r="C569" s="30">
        <v>1</v>
      </c>
      <c r="D569" s="28">
        <f>YEAR(TableauFlitrage[[#This Row],[Date_d_adjudication]])</f>
        <v>2019</v>
      </c>
      <c r="E569" s="28">
        <f t="shared" si="8"/>
        <v>2</v>
      </c>
      <c r="F569" s="15">
        <v>43502</v>
      </c>
      <c r="G569" s="28">
        <v>90.713348888888888</v>
      </c>
      <c r="H569" s="15">
        <v>43868</v>
      </c>
      <c r="I569">
        <v>86.666700000000006</v>
      </c>
      <c r="J569">
        <v>13000</v>
      </c>
      <c r="K569" s="28">
        <v>9.1845999999999997</v>
      </c>
    </row>
    <row r="570" spans="1:12" ht="15" customHeight="1" x14ac:dyDescent="0.2">
      <c r="A570" s="28" t="s">
        <v>11</v>
      </c>
      <c r="B570" s="2" t="s">
        <v>29</v>
      </c>
      <c r="C570" s="30">
        <v>0.5</v>
      </c>
      <c r="D570" s="28">
        <f>YEAR(TableauFlitrage[[#This Row],[Date_d_adjudication]])</f>
        <v>2019</v>
      </c>
      <c r="E570" s="28">
        <f t="shared" si="8"/>
        <v>2</v>
      </c>
      <c r="F570" s="15">
        <v>43502</v>
      </c>
      <c r="G570" s="28">
        <v>96.808680555555554</v>
      </c>
      <c r="H570" s="15">
        <v>43686</v>
      </c>
      <c r="I570">
        <v>103.7037</v>
      </c>
      <c r="J570">
        <v>10800</v>
      </c>
      <c r="K570" s="28">
        <v>6.3125</v>
      </c>
    </row>
    <row r="571" spans="1:12" ht="15" customHeight="1" x14ac:dyDescent="0.2">
      <c r="A571" s="28" t="s">
        <v>11</v>
      </c>
      <c r="B571" s="2" t="s">
        <v>29</v>
      </c>
      <c r="C571" s="30">
        <v>1</v>
      </c>
      <c r="D571" s="28">
        <f>YEAR(TableauFlitrage[[#This Row],[Date_d_adjudication]])</f>
        <v>2019</v>
      </c>
      <c r="E571" s="28">
        <f t="shared" si="8"/>
        <v>2</v>
      </c>
      <c r="F571" s="15">
        <v>43509</v>
      </c>
      <c r="G571" s="28">
        <v>94.944444444444443</v>
      </c>
      <c r="H571" s="15">
        <v>43875</v>
      </c>
      <c r="I571">
        <v>100</v>
      </c>
      <c r="J571">
        <v>3000</v>
      </c>
      <c r="K571" s="28">
        <v>5</v>
      </c>
    </row>
    <row r="572" spans="1:12" ht="15" customHeight="1" x14ac:dyDescent="0.2">
      <c r="A572" s="28" t="s">
        <v>8</v>
      </c>
      <c r="B572" s="2" t="s">
        <v>29</v>
      </c>
      <c r="C572" s="30">
        <v>0.5</v>
      </c>
      <c r="D572" s="28">
        <f>YEAR(TableauFlitrage[[#This Row],[Date_d_adjudication]])</f>
        <v>2019</v>
      </c>
      <c r="E572" s="28">
        <f t="shared" si="8"/>
        <v>2</v>
      </c>
      <c r="F572" s="15">
        <v>43509</v>
      </c>
      <c r="G572" s="28">
        <v>96.619653333333332</v>
      </c>
      <c r="H572" s="15">
        <v>43693</v>
      </c>
      <c r="I572">
        <v>109.0909</v>
      </c>
      <c r="J572">
        <v>11000</v>
      </c>
      <c r="K572" s="28">
        <v>6.6863999999999999</v>
      </c>
    </row>
    <row r="573" spans="1:12" ht="15" customHeight="1" x14ac:dyDescent="0.2">
      <c r="A573" s="28" t="s">
        <v>7</v>
      </c>
      <c r="B573" s="2" t="s">
        <v>29</v>
      </c>
      <c r="C573" s="30">
        <v>0.5</v>
      </c>
      <c r="D573" s="28">
        <f>YEAR(TableauFlitrage[[#This Row],[Date_d_adjudication]])</f>
        <v>2019</v>
      </c>
      <c r="E573" s="28">
        <f t="shared" ref="E573:E636" si="9">MONTH(F573)</f>
        <v>2</v>
      </c>
      <c r="F573" s="15">
        <v>43509</v>
      </c>
      <c r="G573" s="28">
        <v>98.779083333333332</v>
      </c>
      <c r="H573" s="15">
        <v>43693</v>
      </c>
      <c r="I573">
        <v>504.93</v>
      </c>
      <c r="J573">
        <v>10000</v>
      </c>
      <c r="K573" s="28">
        <v>2.415</v>
      </c>
    </row>
    <row r="574" spans="1:12" ht="15" customHeight="1" x14ac:dyDescent="0.2">
      <c r="A574" s="28" t="s">
        <v>9</v>
      </c>
      <c r="B574" s="2" t="s">
        <v>29</v>
      </c>
      <c r="C574" s="30">
        <v>0.5</v>
      </c>
      <c r="D574" s="28">
        <f>YEAR(TableauFlitrage[[#This Row],[Date_d_adjudication]])</f>
        <v>2019</v>
      </c>
      <c r="E574" s="28">
        <f t="shared" si="9"/>
        <v>2</v>
      </c>
      <c r="F574" s="15">
        <v>43509</v>
      </c>
      <c r="G574" s="28">
        <v>98.022013888888893</v>
      </c>
      <c r="H574" s="15">
        <v>43693</v>
      </c>
      <c r="I574">
        <v>205.75</v>
      </c>
      <c r="J574">
        <v>10000</v>
      </c>
      <c r="K574" s="28">
        <v>3.9125000000000001</v>
      </c>
    </row>
    <row r="575" spans="1:12" ht="15" customHeight="1" x14ac:dyDescent="0.2">
      <c r="A575" s="28" t="s">
        <v>10</v>
      </c>
      <c r="B575" t="s">
        <v>30</v>
      </c>
      <c r="C575" s="30" t="s">
        <v>53</v>
      </c>
      <c r="D575" s="28">
        <f>YEAR(TableauFlitrage[[#This Row],[Date_d_adjudication]])</f>
        <v>2019</v>
      </c>
      <c r="E575" s="28">
        <f t="shared" si="9"/>
        <v>2</v>
      </c>
      <c r="F575" s="15">
        <v>43509</v>
      </c>
      <c r="G575" s="28">
        <v>100</v>
      </c>
      <c r="H575" s="15">
        <v>44240</v>
      </c>
      <c r="K575" s="28">
        <v>5</v>
      </c>
      <c r="L575">
        <v>5</v>
      </c>
    </row>
    <row r="576" spans="1:12" ht="15" customHeight="1" x14ac:dyDescent="0.2">
      <c r="A576" s="28" t="s">
        <v>10</v>
      </c>
      <c r="B576" t="s">
        <v>30</v>
      </c>
      <c r="C576" s="30" t="s">
        <v>54</v>
      </c>
      <c r="D576" s="28">
        <f>YEAR(TableauFlitrage[[#This Row],[Date_d_adjudication]])</f>
        <v>2019</v>
      </c>
      <c r="E576" s="28">
        <f t="shared" si="9"/>
        <v>2</v>
      </c>
      <c r="F576" s="15">
        <v>43509</v>
      </c>
      <c r="G576" s="28">
        <v>100</v>
      </c>
      <c r="H576" s="15">
        <v>44605</v>
      </c>
      <c r="K576" s="28">
        <v>5</v>
      </c>
      <c r="L576">
        <v>5</v>
      </c>
    </row>
    <row r="577" spans="1:12" ht="15" customHeight="1" x14ac:dyDescent="0.2">
      <c r="A577" s="28" t="s">
        <v>10</v>
      </c>
      <c r="B577" t="s">
        <v>30</v>
      </c>
      <c r="C577" s="30" t="s">
        <v>56</v>
      </c>
      <c r="D577" s="28">
        <f>YEAR(TableauFlitrage[[#This Row],[Date_d_adjudication]])</f>
        <v>2019</v>
      </c>
      <c r="E577" s="28">
        <f t="shared" si="9"/>
        <v>2</v>
      </c>
      <c r="F577" s="15">
        <v>43509</v>
      </c>
      <c r="G577" s="28">
        <v>100</v>
      </c>
      <c r="H577" s="15">
        <v>44970</v>
      </c>
      <c r="K577" s="28">
        <v>5</v>
      </c>
      <c r="L577">
        <v>5</v>
      </c>
    </row>
    <row r="578" spans="1:12" ht="15" customHeight="1" x14ac:dyDescent="0.2">
      <c r="A578" s="28" t="s">
        <v>10</v>
      </c>
      <c r="B578" t="s">
        <v>30</v>
      </c>
      <c r="C578" s="30" t="s">
        <v>55</v>
      </c>
      <c r="D578" s="28">
        <f>YEAR(TableauFlitrage[[#This Row],[Date_d_adjudication]])</f>
        <v>2019</v>
      </c>
      <c r="E578" s="28">
        <f t="shared" si="9"/>
        <v>2</v>
      </c>
      <c r="F578" s="15">
        <v>43509</v>
      </c>
      <c r="G578" s="28">
        <v>100</v>
      </c>
      <c r="H578" s="15">
        <v>45335</v>
      </c>
      <c r="K578" s="28">
        <v>5</v>
      </c>
      <c r="L578">
        <v>5</v>
      </c>
    </row>
    <row r="579" spans="1:12" ht="15" customHeight="1" x14ac:dyDescent="0.2">
      <c r="A579" s="28" t="s">
        <v>10</v>
      </c>
      <c r="B579" t="s">
        <v>30</v>
      </c>
      <c r="C579" s="30" t="s">
        <v>57</v>
      </c>
      <c r="D579" s="28">
        <f>YEAR(TableauFlitrage[[#This Row],[Date_d_adjudication]])</f>
        <v>2019</v>
      </c>
      <c r="E579" s="28">
        <f t="shared" si="9"/>
        <v>2</v>
      </c>
      <c r="F579" s="15">
        <v>43509</v>
      </c>
      <c r="G579" s="28">
        <v>100</v>
      </c>
      <c r="H579" s="15">
        <v>45701</v>
      </c>
      <c r="K579" s="28">
        <v>5</v>
      </c>
      <c r="L579">
        <v>5</v>
      </c>
    </row>
    <row r="580" spans="1:12" ht="15" customHeight="1" x14ac:dyDescent="0.2">
      <c r="A580" s="28" t="s">
        <v>10</v>
      </c>
      <c r="B580" t="s">
        <v>30</v>
      </c>
      <c r="C580" s="30" t="s">
        <v>58</v>
      </c>
      <c r="D580" s="28">
        <f>YEAR(TableauFlitrage[[#This Row],[Date_d_adjudication]])</f>
        <v>2019</v>
      </c>
      <c r="E580" s="28">
        <f t="shared" si="9"/>
        <v>2</v>
      </c>
      <c r="F580" s="15">
        <v>43509</v>
      </c>
      <c r="G580" s="28">
        <v>100</v>
      </c>
      <c r="H580" s="15">
        <v>46066</v>
      </c>
      <c r="K580" s="28">
        <v>5</v>
      </c>
      <c r="L580">
        <v>5</v>
      </c>
    </row>
    <row r="581" spans="1:12" ht="15" customHeight="1" x14ac:dyDescent="0.2">
      <c r="A581" s="28" t="s">
        <v>10</v>
      </c>
      <c r="B581" t="s">
        <v>30</v>
      </c>
      <c r="C581" s="30" t="s">
        <v>59</v>
      </c>
      <c r="D581" s="28">
        <f>YEAR(TableauFlitrage[[#This Row],[Date_d_adjudication]])</f>
        <v>2019</v>
      </c>
      <c r="E581" s="28">
        <f t="shared" si="9"/>
        <v>2</v>
      </c>
      <c r="F581" s="15">
        <v>43509</v>
      </c>
      <c r="G581" s="28">
        <v>100</v>
      </c>
      <c r="H581" s="15">
        <v>46431</v>
      </c>
      <c r="K581" s="28">
        <v>5</v>
      </c>
      <c r="L581">
        <v>5</v>
      </c>
    </row>
    <row r="582" spans="1:12" ht="15" customHeight="1" x14ac:dyDescent="0.2">
      <c r="A582" s="28" t="s">
        <v>10</v>
      </c>
      <c r="B582" t="s">
        <v>30</v>
      </c>
      <c r="C582" s="30" t="s">
        <v>60</v>
      </c>
      <c r="D582" s="28">
        <f>YEAR(TableauFlitrage[[#This Row],[Date_d_adjudication]])</f>
        <v>2019</v>
      </c>
      <c r="E582" s="28">
        <f t="shared" si="9"/>
        <v>2</v>
      </c>
      <c r="F582" s="15">
        <v>43509</v>
      </c>
      <c r="G582" s="28">
        <v>100</v>
      </c>
      <c r="H582" s="15">
        <v>46796</v>
      </c>
      <c r="K582" s="28">
        <v>5</v>
      </c>
      <c r="L582">
        <v>5</v>
      </c>
    </row>
    <row r="583" spans="1:12" ht="15" customHeight="1" x14ac:dyDescent="0.2">
      <c r="A583" s="28" t="s">
        <v>10</v>
      </c>
      <c r="B583" t="s">
        <v>30</v>
      </c>
      <c r="C583" s="30" t="s">
        <v>61</v>
      </c>
      <c r="D583" s="28">
        <f>YEAR(TableauFlitrage[[#This Row],[Date_d_adjudication]])</f>
        <v>2019</v>
      </c>
      <c r="E583" s="28">
        <f t="shared" si="9"/>
        <v>2</v>
      </c>
      <c r="F583" s="15">
        <v>43509</v>
      </c>
      <c r="G583" s="28">
        <v>100</v>
      </c>
      <c r="H583" s="15">
        <v>47162</v>
      </c>
      <c r="K583" s="28">
        <v>5</v>
      </c>
      <c r="L583">
        <v>5</v>
      </c>
    </row>
    <row r="584" spans="1:12" ht="15" customHeight="1" x14ac:dyDescent="0.2">
      <c r="A584" s="28" t="s">
        <v>9</v>
      </c>
      <c r="B584" s="2" t="s">
        <v>29</v>
      </c>
      <c r="C584" s="30">
        <v>0.25</v>
      </c>
      <c r="D584" s="28">
        <f>YEAR(TableauFlitrage[[#This Row],[Date_d_adjudication]])</f>
        <v>2019</v>
      </c>
      <c r="E584" s="28">
        <f t="shared" si="9"/>
        <v>2</v>
      </c>
      <c r="F584" s="15">
        <v>43516</v>
      </c>
      <c r="G584" s="28">
        <v>99.028120000000001</v>
      </c>
      <c r="H584" s="15">
        <v>43609</v>
      </c>
      <c r="I584">
        <v>184.1379</v>
      </c>
      <c r="J584">
        <v>14500</v>
      </c>
      <c r="K584" s="28">
        <v>3.8448000000000002</v>
      </c>
    </row>
    <row r="585" spans="1:12" ht="15" customHeight="1" x14ac:dyDescent="0.2">
      <c r="A585" s="28" t="s">
        <v>11</v>
      </c>
      <c r="B585" s="2" t="s">
        <v>29</v>
      </c>
      <c r="C585" s="30">
        <v>0.5</v>
      </c>
      <c r="D585" s="28">
        <f>YEAR(TableauFlitrage[[#This Row],[Date_d_adjudication]])</f>
        <v>2019</v>
      </c>
      <c r="E585" s="28">
        <f t="shared" si="9"/>
        <v>2</v>
      </c>
      <c r="F585" s="15">
        <v>43516</v>
      </c>
      <c r="G585" s="28">
        <v>96.929811666666666</v>
      </c>
      <c r="H585" s="15">
        <v>43700</v>
      </c>
      <c r="I585">
        <v>95.267499999999998</v>
      </c>
      <c r="J585">
        <v>11575</v>
      </c>
      <c r="K585" s="28">
        <v>6.0728999999999997</v>
      </c>
    </row>
    <row r="586" spans="1:12" ht="15" customHeight="1" x14ac:dyDescent="0.2">
      <c r="A586" s="28" t="s">
        <v>7</v>
      </c>
      <c r="B586" t="s">
        <v>30</v>
      </c>
      <c r="C586" s="30" t="s">
        <v>54</v>
      </c>
      <c r="D586" s="28">
        <f>YEAR(TableauFlitrage[[#This Row],[Date_d_adjudication]])</f>
        <v>2019</v>
      </c>
      <c r="E586" s="28">
        <f t="shared" si="9"/>
        <v>2</v>
      </c>
      <c r="F586" s="15">
        <v>43516</v>
      </c>
      <c r="G586" s="28">
        <v>98.515000000000001</v>
      </c>
      <c r="H586" s="15">
        <v>44614</v>
      </c>
      <c r="I586">
        <v>78.2</v>
      </c>
      <c r="J586">
        <v>14770</v>
      </c>
      <c r="K586" s="28">
        <v>3.7</v>
      </c>
      <c r="L586">
        <v>3.756304399452961</v>
      </c>
    </row>
    <row r="587" spans="1:12" ht="15" customHeight="1" x14ac:dyDescent="0.2">
      <c r="A587" s="28" t="s">
        <v>7</v>
      </c>
      <c r="B587" s="2" t="s">
        <v>29</v>
      </c>
      <c r="C587" s="30">
        <v>0.5</v>
      </c>
      <c r="D587" s="28">
        <f>YEAR(TableauFlitrage[[#This Row],[Date_d_adjudication]])</f>
        <v>2019</v>
      </c>
      <c r="E587" s="28">
        <f t="shared" si="9"/>
        <v>2</v>
      </c>
      <c r="F587" s="15">
        <v>43523</v>
      </c>
      <c r="G587" s="28">
        <v>98.716192222222219</v>
      </c>
      <c r="H587" s="15">
        <v>43707</v>
      </c>
      <c r="I587">
        <v>185.68600000000001</v>
      </c>
      <c r="J587">
        <v>50000</v>
      </c>
      <c r="K587" s="28">
        <v>2.5394000000000001</v>
      </c>
    </row>
    <row r="588" spans="1:12" ht="15" customHeight="1" x14ac:dyDescent="0.2">
      <c r="A588" s="28" t="s">
        <v>9</v>
      </c>
      <c r="B588" s="2" t="s">
        <v>29</v>
      </c>
      <c r="C588" s="30">
        <v>0.25</v>
      </c>
      <c r="D588" s="28">
        <f>YEAR(TableauFlitrage[[#This Row],[Date_d_adjudication]])</f>
        <v>2019</v>
      </c>
      <c r="E588" s="28">
        <f t="shared" si="9"/>
        <v>2</v>
      </c>
      <c r="F588" s="15">
        <v>43523</v>
      </c>
      <c r="G588" s="28">
        <v>98.964318888888883</v>
      </c>
      <c r="H588" s="15">
        <v>43616</v>
      </c>
      <c r="I588">
        <v>111.8357</v>
      </c>
      <c r="J588">
        <v>14000</v>
      </c>
      <c r="K588" s="28">
        <v>4.0972</v>
      </c>
    </row>
    <row r="589" spans="1:12" ht="15" customHeight="1" x14ac:dyDescent="0.2">
      <c r="A589" s="28" t="s">
        <v>11</v>
      </c>
      <c r="B589" s="2" t="s">
        <v>29</v>
      </c>
      <c r="C589" s="30">
        <v>0.5</v>
      </c>
      <c r="D589" s="28">
        <f>YEAR(TableauFlitrage[[#This Row],[Date_d_adjudication]])</f>
        <v>2019</v>
      </c>
      <c r="E589" s="28">
        <f t="shared" si="9"/>
        <v>2</v>
      </c>
      <c r="F589" s="15">
        <v>43523</v>
      </c>
      <c r="G589" s="28">
        <v>96.814999999999998</v>
      </c>
      <c r="H589" s="15">
        <v>43707</v>
      </c>
      <c r="I589">
        <v>98.113200000000006</v>
      </c>
      <c r="J589">
        <v>21465</v>
      </c>
      <c r="K589" s="28">
        <v>6.3</v>
      </c>
    </row>
    <row r="590" spans="1:12" ht="15" customHeight="1" x14ac:dyDescent="0.2">
      <c r="A590" s="28" t="s">
        <v>8</v>
      </c>
      <c r="B590" s="2" t="s">
        <v>29</v>
      </c>
      <c r="C590" s="30">
        <v>0.5</v>
      </c>
      <c r="D590" s="28">
        <f>YEAR(TableauFlitrage[[#This Row],[Date_d_adjudication]])</f>
        <v>2019</v>
      </c>
      <c r="E590" s="28">
        <f t="shared" si="9"/>
        <v>3</v>
      </c>
      <c r="F590" s="15">
        <v>43530</v>
      </c>
      <c r="G590" s="28">
        <v>96.493264444444449</v>
      </c>
      <c r="H590" s="15">
        <v>43714</v>
      </c>
      <c r="I590">
        <v>91.666700000000006</v>
      </c>
      <c r="J590">
        <v>6000</v>
      </c>
      <c r="K590" s="28">
        <v>6.9363999999999999</v>
      </c>
    </row>
    <row r="591" spans="1:12" ht="15" customHeight="1" x14ac:dyDescent="0.2">
      <c r="A591" s="28" t="s">
        <v>9</v>
      </c>
      <c r="B591" s="2" t="s">
        <v>29</v>
      </c>
      <c r="C591" s="30">
        <v>0.25</v>
      </c>
      <c r="D591" s="28">
        <f>YEAR(TableauFlitrage[[#This Row],[Date_d_adjudication]])</f>
        <v>2019</v>
      </c>
      <c r="E591" s="28">
        <f t="shared" si="9"/>
        <v>3</v>
      </c>
      <c r="F591" s="15">
        <v>43530</v>
      </c>
      <c r="G591" s="28">
        <v>98.931103888888885</v>
      </c>
      <c r="H591" s="15">
        <v>43623</v>
      </c>
      <c r="I591">
        <v>196.8</v>
      </c>
      <c r="J591">
        <v>14000</v>
      </c>
      <c r="K591" s="28">
        <v>4.2286000000000001</v>
      </c>
    </row>
    <row r="592" spans="1:12" ht="15" customHeight="1" x14ac:dyDescent="0.2">
      <c r="A592" s="28" t="s">
        <v>11</v>
      </c>
      <c r="B592" s="2" t="s">
        <v>29</v>
      </c>
      <c r="C592" s="30">
        <v>0.5</v>
      </c>
      <c r="D592" s="28">
        <f>YEAR(TableauFlitrage[[#This Row],[Date_d_adjudication]])</f>
        <v>2019</v>
      </c>
      <c r="E592" s="28">
        <f t="shared" si="9"/>
        <v>3</v>
      </c>
      <c r="F592" s="15">
        <v>43530</v>
      </c>
      <c r="G592" s="28">
        <v>96.713888888888889</v>
      </c>
      <c r="H592" s="15">
        <v>43714</v>
      </c>
      <c r="I592">
        <v>100</v>
      </c>
      <c r="J592">
        <v>12150</v>
      </c>
      <c r="K592" s="28">
        <v>6.5</v>
      </c>
    </row>
    <row r="593" spans="1:12" ht="15" customHeight="1" x14ac:dyDescent="0.2">
      <c r="A593" s="28" t="s">
        <v>8</v>
      </c>
      <c r="B593" s="2" t="s">
        <v>29</v>
      </c>
      <c r="C593" s="30">
        <v>0.5</v>
      </c>
      <c r="D593" s="28">
        <f>YEAR(TableauFlitrage[[#This Row],[Date_d_adjudication]])</f>
        <v>2019</v>
      </c>
      <c r="E593" s="28">
        <f t="shared" si="9"/>
        <v>3</v>
      </c>
      <c r="F593" s="15">
        <v>43537</v>
      </c>
      <c r="G593" s="28">
        <v>96.579613333333327</v>
      </c>
      <c r="H593" s="15">
        <v>43721</v>
      </c>
      <c r="I593">
        <v>88.888900000000007</v>
      </c>
      <c r="J593">
        <v>9000</v>
      </c>
      <c r="K593" s="28">
        <v>6.7656000000000001</v>
      </c>
    </row>
    <row r="594" spans="1:12" ht="15" customHeight="1" x14ac:dyDescent="0.2">
      <c r="A594" s="28" t="s">
        <v>11</v>
      </c>
      <c r="B594" s="2" t="s">
        <v>29</v>
      </c>
      <c r="C594" s="30">
        <v>0.5</v>
      </c>
      <c r="D594" s="28">
        <f>YEAR(TableauFlitrage[[#This Row],[Date_d_adjudication]])</f>
        <v>2019</v>
      </c>
      <c r="E594" s="28">
        <f t="shared" si="9"/>
        <v>3</v>
      </c>
      <c r="F594" s="15">
        <v>43537</v>
      </c>
      <c r="G594" s="28">
        <v>96.838002777777774</v>
      </c>
      <c r="H594" s="15">
        <v>43721</v>
      </c>
      <c r="I594">
        <v>95.732399999999998</v>
      </c>
      <c r="J594">
        <v>39015</v>
      </c>
      <c r="K594" s="28">
        <v>6.2545000000000002</v>
      </c>
    </row>
    <row r="595" spans="1:12" ht="15" customHeight="1" x14ac:dyDescent="0.2">
      <c r="A595" s="28" t="s">
        <v>10</v>
      </c>
      <c r="B595" s="2" t="s">
        <v>29</v>
      </c>
      <c r="C595" s="30">
        <v>1</v>
      </c>
      <c r="D595" s="28">
        <f>YEAR(TableauFlitrage[[#This Row],[Date_d_adjudication]])</f>
        <v>2019</v>
      </c>
      <c r="E595" s="28">
        <f t="shared" si="9"/>
        <v>3</v>
      </c>
      <c r="F595" s="15">
        <v>43537</v>
      </c>
      <c r="G595" s="28">
        <v>91.159552222222217</v>
      </c>
      <c r="H595" s="15">
        <v>43903</v>
      </c>
      <c r="I595">
        <v>106.66670000000001</v>
      </c>
      <c r="J595">
        <v>15000</v>
      </c>
      <c r="K595" s="28">
        <v>8.7432999999999996</v>
      </c>
    </row>
    <row r="596" spans="1:12" ht="15" customHeight="1" x14ac:dyDescent="0.2">
      <c r="A596" s="28" t="s">
        <v>9</v>
      </c>
      <c r="B596" s="2" t="s">
        <v>29</v>
      </c>
      <c r="C596" s="30">
        <v>1</v>
      </c>
      <c r="D596" s="28">
        <f>YEAR(TableauFlitrage[[#This Row],[Date_d_adjudication]])</f>
        <v>2019</v>
      </c>
      <c r="E596" s="28">
        <f t="shared" si="9"/>
        <v>3</v>
      </c>
      <c r="F596" s="15">
        <v>43537</v>
      </c>
      <c r="G596" s="28">
        <v>95.675781111111107</v>
      </c>
      <c r="H596" s="15">
        <v>43903</v>
      </c>
      <c r="I596">
        <v>157.0667</v>
      </c>
      <c r="J596">
        <v>15000</v>
      </c>
      <c r="K596" s="28">
        <v>4.2766999999999999</v>
      </c>
    </row>
    <row r="597" spans="1:12" ht="15" customHeight="1" x14ac:dyDescent="0.2">
      <c r="A597" s="28" t="s">
        <v>9</v>
      </c>
      <c r="B597" s="2" t="s">
        <v>29</v>
      </c>
      <c r="C597" s="30">
        <v>1</v>
      </c>
      <c r="D597" s="28">
        <f>YEAR(TableauFlitrage[[#This Row],[Date_d_adjudication]])</f>
        <v>2019</v>
      </c>
      <c r="E597" s="28">
        <f t="shared" si="9"/>
        <v>3</v>
      </c>
      <c r="F597" s="15">
        <v>43544</v>
      </c>
      <c r="G597" s="28">
        <v>95.902270000000001</v>
      </c>
      <c r="H597" s="15">
        <v>43910</v>
      </c>
      <c r="I597">
        <v>168.4</v>
      </c>
      <c r="J597">
        <v>15000</v>
      </c>
      <c r="K597" s="28">
        <v>4.0526999999999997</v>
      </c>
    </row>
    <row r="598" spans="1:12" ht="15" customHeight="1" x14ac:dyDescent="0.2">
      <c r="A598" s="28" t="s">
        <v>7</v>
      </c>
      <c r="B598" s="2" t="s">
        <v>29</v>
      </c>
      <c r="C598" s="30">
        <v>0.25</v>
      </c>
      <c r="D598" s="28">
        <f>YEAR(TableauFlitrage[[#This Row],[Date_d_adjudication]])</f>
        <v>2019</v>
      </c>
      <c r="E598" s="28">
        <f t="shared" si="9"/>
        <v>3</v>
      </c>
      <c r="F598" s="15">
        <v>43544</v>
      </c>
      <c r="G598" s="28">
        <v>99.373288055555562</v>
      </c>
      <c r="H598" s="15">
        <v>43637</v>
      </c>
      <c r="I598">
        <v>252.55</v>
      </c>
      <c r="J598">
        <v>20000</v>
      </c>
      <c r="K598" s="28">
        <v>2.4792999999999998</v>
      </c>
    </row>
    <row r="599" spans="1:12" ht="15" customHeight="1" x14ac:dyDescent="0.2">
      <c r="A599" s="28" t="s">
        <v>9</v>
      </c>
      <c r="B599" s="2" t="s">
        <v>29</v>
      </c>
      <c r="C599" s="30">
        <v>0.25</v>
      </c>
      <c r="D599" s="28">
        <f>YEAR(TableauFlitrage[[#This Row],[Date_d_adjudication]])</f>
        <v>2019</v>
      </c>
      <c r="E599" s="28">
        <f t="shared" si="9"/>
        <v>3</v>
      </c>
      <c r="F599" s="15">
        <v>43551</v>
      </c>
      <c r="G599" s="28">
        <v>99.131076388888886</v>
      </c>
      <c r="H599" s="15">
        <v>43644</v>
      </c>
      <c r="I599">
        <v>362.5</v>
      </c>
      <c r="J599">
        <v>12000</v>
      </c>
      <c r="K599" s="28">
        <v>3.4375</v>
      </c>
    </row>
    <row r="600" spans="1:12" ht="15" customHeight="1" x14ac:dyDescent="0.2">
      <c r="A600" s="28" t="s">
        <v>11</v>
      </c>
      <c r="B600" s="2" t="s">
        <v>29</v>
      </c>
      <c r="C600" s="30">
        <v>0.5</v>
      </c>
      <c r="D600" s="28">
        <f>YEAR(TableauFlitrage[[#This Row],[Date_d_adjudication]])</f>
        <v>2019</v>
      </c>
      <c r="E600" s="28">
        <f t="shared" si="9"/>
        <v>3</v>
      </c>
      <c r="F600" s="15">
        <v>43551</v>
      </c>
      <c r="G600" s="28">
        <v>96.726173888888894</v>
      </c>
      <c r="H600" s="15">
        <v>43735</v>
      </c>
      <c r="I600">
        <v>200</v>
      </c>
      <c r="J600">
        <v>4050</v>
      </c>
      <c r="K600" s="28">
        <v>6.4756999999999998</v>
      </c>
    </row>
    <row r="601" spans="1:12" ht="15" customHeight="1" x14ac:dyDescent="0.2">
      <c r="A601" s="28" t="s">
        <v>9</v>
      </c>
      <c r="B601" s="2" t="s">
        <v>29</v>
      </c>
      <c r="C601" s="30">
        <v>0.5</v>
      </c>
      <c r="D601" s="28">
        <f>YEAR(TableauFlitrage[[#This Row],[Date_d_adjudication]])</f>
        <v>2019</v>
      </c>
      <c r="E601" s="28">
        <f t="shared" si="9"/>
        <v>4</v>
      </c>
      <c r="F601" s="15">
        <v>43558</v>
      </c>
      <c r="G601" s="28">
        <v>98.347440000000006</v>
      </c>
      <c r="H601" s="15">
        <v>43742</v>
      </c>
      <c r="I601">
        <v>235</v>
      </c>
      <c r="J601">
        <v>12000</v>
      </c>
      <c r="K601" s="28">
        <v>3.2688000000000001</v>
      </c>
    </row>
    <row r="602" spans="1:12" ht="15" customHeight="1" x14ac:dyDescent="0.2">
      <c r="A602" s="28" t="s">
        <v>10</v>
      </c>
      <c r="B602" s="2" t="s">
        <v>29</v>
      </c>
      <c r="C602" s="30">
        <v>1</v>
      </c>
      <c r="D602" s="28">
        <f>YEAR(TableauFlitrage[[#This Row],[Date_d_adjudication]])</f>
        <v>2019</v>
      </c>
      <c r="E602" s="28">
        <f t="shared" si="9"/>
        <v>4</v>
      </c>
      <c r="F602" s="15">
        <v>43558</v>
      </c>
      <c r="G602" s="28">
        <v>90.394444444444446</v>
      </c>
      <c r="H602" s="15">
        <v>43924</v>
      </c>
      <c r="I602">
        <v>100</v>
      </c>
      <c r="J602">
        <v>15000</v>
      </c>
      <c r="K602" s="28">
        <v>9.5</v>
      </c>
    </row>
    <row r="603" spans="1:12" ht="15" customHeight="1" x14ac:dyDescent="0.2">
      <c r="A603" s="28" t="s">
        <v>14</v>
      </c>
      <c r="B603" s="2" t="s">
        <v>29</v>
      </c>
      <c r="C603" s="30">
        <v>0.5</v>
      </c>
      <c r="D603" s="28">
        <f>YEAR(TableauFlitrage[[#This Row],[Date_d_adjudication]])</f>
        <v>2019</v>
      </c>
      <c r="E603" s="28">
        <f t="shared" si="9"/>
        <v>4</v>
      </c>
      <c r="F603" s="15">
        <v>43565</v>
      </c>
      <c r="G603" s="28">
        <v>97.311354444444447</v>
      </c>
      <c r="H603" s="15">
        <v>43749</v>
      </c>
      <c r="I603">
        <v>100</v>
      </c>
      <c r="J603">
        <v>5500</v>
      </c>
      <c r="K603" s="28">
        <v>5.3182</v>
      </c>
    </row>
    <row r="604" spans="1:12" ht="15" customHeight="1" x14ac:dyDescent="0.2">
      <c r="A604" s="28" t="s">
        <v>8</v>
      </c>
      <c r="B604" s="2" t="s">
        <v>29</v>
      </c>
      <c r="C604" s="30">
        <v>0.25</v>
      </c>
      <c r="D604" s="28">
        <f>YEAR(TableauFlitrage[[#This Row],[Date_d_adjudication]])</f>
        <v>2019</v>
      </c>
      <c r="E604" s="28">
        <f t="shared" si="9"/>
        <v>4</v>
      </c>
      <c r="F604" s="15">
        <v>43565</v>
      </c>
      <c r="G604" s="28">
        <v>98.356944444444451</v>
      </c>
      <c r="H604" s="15">
        <v>43658</v>
      </c>
      <c r="I604">
        <v>146.25</v>
      </c>
      <c r="J604">
        <v>8000</v>
      </c>
      <c r="K604" s="28">
        <v>6.5</v>
      </c>
    </row>
    <row r="605" spans="1:12" ht="15" customHeight="1" x14ac:dyDescent="0.2">
      <c r="A605" s="28" t="s">
        <v>7</v>
      </c>
      <c r="B605" s="2" t="s">
        <v>29</v>
      </c>
      <c r="C605" s="30">
        <v>0.5</v>
      </c>
      <c r="D605" s="28">
        <f>YEAR(TableauFlitrage[[#This Row],[Date_d_adjudication]])</f>
        <v>2019</v>
      </c>
      <c r="E605" s="28">
        <f t="shared" si="9"/>
        <v>4</v>
      </c>
      <c r="F605" s="15">
        <v>43565</v>
      </c>
      <c r="G605" s="28">
        <v>98.819527777777779</v>
      </c>
      <c r="H605" s="15">
        <v>43749</v>
      </c>
      <c r="I605">
        <v>398</v>
      </c>
      <c r="J605">
        <v>10000</v>
      </c>
      <c r="K605" s="28">
        <v>2.335</v>
      </c>
    </row>
    <row r="606" spans="1:12" ht="15" customHeight="1" x14ac:dyDescent="0.2">
      <c r="A606" s="28" t="s">
        <v>9</v>
      </c>
      <c r="B606" s="2" t="s">
        <v>29</v>
      </c>
      <c r="C606" s="30">
        <v>0.25</v>
      </c>
      <c r="D606" s="28">
        <f>YEAR(TableauFlitrage[[#This Row],[Date_d_adjudication]])</f>
        <v>2019</v>
      </c>
      <c r="E606" s="28">
        <f t="shared" si="9"/>
        <v>4</v>
      </c>
      <c r="F606" s="15">
        <v>43565</v>
      </c>
      <c r="G606" s="28">
        <v>99.187951388888891</v>
      </c>
      <c r="H606" s="15">
        <v>43658</v>
      </c>
      <c r="I606">
        <v>237.5</v>
      </c>
      <c r="J606">
        <v>12000</v>
      </c>
      <c r="K606" s="28">
        <v>3.2124999999999999</v>
      </c>
    </row>
    <row r="607" spans="1:12" ht="15" customHeight="1" x14ac:dyDescent="0.2">
      <c r="A607" s="28" t="s">
        <v>9</v>
      </c>
      <c r="B607" t="s">
        <v>30</v>
      </c>
      <c r="C607" s="30" t="s">
        <v>54</v>
      </c>
      <c r="D607" s="28">
        <f>YEAR(TableauFlitrage[[#This Row],[Date_d_adjudication]])</f>
        <v>2019</v>
      </c>
      <c r="E607" s="28">
        <f t="shared" si="9"/>
        <v>4</v>
      </c>
      <c r="F607" s="15">
        <v>43565</v>
      </c>
      <c r="G607" s="28">
        <v>99.219899999999996</v>
      </c>
      <c r="H607" s="15">
        <v>44649</v>
      </c>
      <c r="I607">
        <v>85.714299999999994</v>
      </c>
      <c r="J607">
        <v>17500</v>
      </c>
      <c r="K607" s="28">
        <v>5.75</v>
      </c>
      <c r="L607">
        <v>5.7953540946887312</v>
      </c>
    </row>
    <row r="608" spans="1:12" ht="15" customHeight="1" x14ac:dyDescent="0.2">
      <c r="A608" s="28" t="s">
        <v>7</v>
      </c>
      <c r="B608" s="2" t="s">
        <v>29</v>
      </c>
      <c r="C608" s="30">
        <v>1</v>
      </c>
      <c r="D608" s="28">
        <f>YEAR(TableauFlitrage[[#This Row],[Date_d_adjudication]])</f>
        <v>2019</v>
      </c>
      <c r="E608" s="28">
        <f t="shared" si="9"/>
        <v>4</v>
      </c>
      <c r="F608" s="15">
        <v>43572</v>
      </c>
      <c r="G608" s="28">
        <v>97.15625</v>
      </c>
      <c r="H608" s="15">
        <v>43938</v>
      </c>
      <c r="I608">
        <v>230</v>
      </c>
      <c r="J608">
        <v>10000</v>
      </c>
      <c r="K608" s="28">
        <v>2.8125</v>
      </c>
    </row>
    <row r="609" spans="1:12" ht="15" customHeight="1" x14ac:dyDescent="0.2">
      <c r="A609" s="28" t="s">
        <v>9</v>
      </c>
      <c r="B609" s="2" t="s">
        <v>29</v>
      </c>
      <c r="C609" s="30">
        <v>0.5</v>
      </c>
      <c r="D609" s="28">
        <f>YEAR(TableauFlitrage[[#This Row],[Date_d_adjudication]])</f>
        <v>2019</v>
      </c>
      <c r="E609" s="28">
        <f t="shared" si="9"/>
        <v>4</v>
      </c>
      <c r="F609" s="15">
        <v>43572</v>
      </c>
      <c r="G609" s="28">
        <v>98.322415000000007</v>
      </c>
      <c r="H609" s="15">
        <v>43756</v>
      </c>
      <c r="I609">
        <v>236.66669999999999</v>
      </c>
      <c r="J609">
        <v>15000</v>
      </c>
      <c r="K609" s="28">
        <v>3.3182999999999998</v>
      </c>
    </row>
    <row r="610" spans="1:12" ht="15" customHeight="1" x14ac:dyDescent="0.2">
      <c r="A610" s="28" t="s">
        <v>11</v>
      </c>
      <c r="B610" s="2" t="s">
        <v>29</v>
      </c>
      <c r="C610" s="30">
        <v>0.5</v>
      </c>
      <c r="D610" s="28">
        <f>YEAR(TableauFlitrage[[#This Row],[Date_d_adjudication]])</f>
        <v>2019</v>
      </c>
      <c r="E610" s="28">
        <f t="shared" si="9"/>
        <v>4</v>
      </c>
      <c r="F610" s="15">
        <v>43572</v>
      </c>
      <c r="G610" s="28">
        <v>96.810854444444445</v>
      </c>
      <c r="H610" s="15">
        <v>43756</v>
      </c>
      <c r="I610">
        <v>109.2341</v>
      </c>
      <c r="J610">
        <v>13082</v>
      </c>
      <c r="K610" s="28">
        <v>6.3082000000000003</v>
      </c>
    </row>
    <row r="611" spans="1:12" ht="15" customHeight="1" x14ac:dyDescent="0.2">
      <c r="A611" s="28" t="s">
        <v>8</v>
      </c>
      <c r="B611" s="2" t="s">
        <v>29</v>
      </c>
      <c r="C611" s="30">
        <v>0.5</v>
      </c>
      <c r="D611" s="28">
        <f>YEAR(TableauFlitrage[[#This Row],[Date_d_adjudication]])</f>
        <v>2019</v>
      </c>
      <c r="E611" s="28">
        <f t="shared" si="9"/>
        <v>4</v>
      </c>
      <c r="F611" s="15">
        <v>43579</v>
      </c>
      <c r="G611" s="28">
        <v>96.713888888888889</v>
      </c>
      <c r="H611" s="15">
        <v>43763</v>
      </c>
      <c r="I611">
        <v>120</v>
      </c>
      <c r="J611">
        <v>15000</v>
      </c>
      <c r="K611" s="28">
        <v>6.5</v>
      </c>
    </row>
    <row r="612" spans="1:12" ht="15" customHeight="1" x14ac:dyDescent="0.2">
      <c r="A612" s="28" t="s">
        <v>9</v>
      </c>
      <c r="B612" s="2" t="s">
        <v>29</v>
      </c>
      <c r="C612" s="30">
        <v>0.25</v>
      </c>
      <c r="D612" s="28">
        <f>YEAR(TableauFlitrage[[#This Row],[Date_d_adjudication]])</f>
        <v>2019</v>
      </c>
      <c r="E612" s="28">
        <f t="shared" si="9"/>
        <v>4</v>
      </c>
      <c r="F612" s="15">
        <v>43579</v>
      </c>
      <c r="G612" s="28">
        <v>99.093816944444441</v>
      </c>
      <c r="H612" s="15">
        <v>43672</v>
      </c>
      <c r="I612">
        <v>146.7533</v>
      </c>
      <c r="J612">
        <v>15000</v>
      </c>
      <c r="K612" s="28">
        <v>3.5849000000000002</v>
      </c>
    </row>
    <row r="613" spans="1:12" ht="15" customHeight="1" x14ac:dyDescent="0.2">
      <c r="A613" s="28" t="s">
        <v>9</v>
      </c>
      <c r="B613" s="2" t="s">
        <v>29</v>
      </c>
      <c r="C613" s="30">
        <v>0.25</v>
      </c>
      <c r="D613" s="28">
        <f>YEAR(TableauFlitrage[[#This Row],[Date_d_adjudication]])</f>
        <v>2019</v>
      </c>
      <c r="E613" s="28">
        <f t="shared" si="9"/>
        <v>5</v>
      </c>
      <c r="F613" s="15">
        <v>43586</v>
      </c>
      <c r="G613" s="28">
        <v>99.111915833333327</v>
      </c>
      <c r="H613" s="15">
        <v>43679</v>
      </c>
      <c r="I613">
        <v>200</v>
      </c>
      <c r="J613">
        <v>15000</v>
      </c>
      <c r="K613" s="28">
        <v>3.5133000000000001</v>
      </c>
    </row>
    <row r="614" spans="1:12" ht="15" customHeight="1" x14ac:dyDescent="0.2">
      <c r="A614" s="28" t="s">
        <v>8</v>
      </c>
      <c r="B614" s="2" t="s">
        <v>29</v>
      </c>
      <c r="C614" s="30">
        <v>0.5</v>
      </c>
      <c r="D614" s="28">
        <f>YEAR(TableauFlitrage[[#This Row],[Date_d_adjudication]])</f>
        <v>2019</v>
      </c>
      <c r="E614" s="28">
        <f t="shared" si="9"/>
        <v>5</v>
      </c>
      <c r="F614" s="15">
        <v>43593</v>
      </c>
      <c r="G614" s="28">
        <v>96.724000000000004</v>
      </c>
      <c r="H614" s="15">
        <v>43777</v>
      </c>
      <c r="I614">
        <v>105.8824</v>
      </c>
      <c r="J614">
        <v>8500</v>
      </c>
      <c r="K614" s="28">
        <v>6.48</v>
      </c>
    </row>
    <row r="615" spans="1:12" ht="15" customHeight="1" x14ac:dyDescent="0.2">
      <c r="A615" s="28" t="s">
        <v>7</v>
      </c>
      <c r="B615" s="2" t="s">
        <v>29</v>
      </c>
      <c r="C615" s="30">
        <v>0.5</v>
      </c>
      <c r="D615" s="28">
        <f>YEAR(TableauFlitrage[[#This Row],[Date_d_adjudication]])</f>
        <v>2019</v>
      </c>
      <c r="E615" s="28">
        <f t="shared" si="9"/>
        <v>5</v>
      </c>
      <c r="F615" s="15">
        <v>43593</v>
      </c>
      <c r="G615" s="28">
        <v>98.828374999999994</v>
      </c>
      <c r="H615" s="15">
        <v>43777</v>
      </c>
      <c r="I615">
        <v>390</v>
      </c>
      <c r="J615">
        <v>10000</v>
      </c>
      <c r="K615" s="28">
        <v>2.3174999999999999</v>
      </c>
    </row>
    <row r="616" spans="1:12" ht="15" customHeight="1" x14ac:dyDescent="0.2">
      <c r="A616" s="28" t="s">
        <v>9</v>
      </c>
      <c r="B616" s="2" t="s">
        <v>29</v>
      </c>
      <c r="C616" s="30">
        <v>0.25</v>
      </c>
      <c r="D616" s="28">
        <f>YEAR(TableauFlitrage[[#This Row],[Date_d_adjudication]])</f>
        <v>2019</v>
      </c>
      <c r="E616" s="28">
        <f t="shared" si="9"/>
        <v>5</v>
      </c>
      <c r="F616" s="15">
        <v>43593</v>
      </c>
      <c r="G616" s="28">
        <v>99.177991944444443</v>
      </c>
      <c r="H616" s="15">
        <v>43686</v>
      </c>
      <c r="I616">
        <v>207.4074</v>
      </c>
      <c r="J616">
        <v>13500</v>
      </c>
      <c r="K616" s="28">
        <v>3.2519</v>
      </c>
    </row>
    <row r="617" spans="1:12" ht="15" customHeight="1" x14ac:dyDescent="0.2">
      <c r="A617" s="28" t="s">
        <v>10</v>
      </c>
      <c r="B617" s="2" t="s">
        <v>29</v>
      </c>
      <c r="C617" s="30">
        <v>1</v>
      </c>
      <c r="D617" s="28">
        <f>YEAR(TableauFlitrage[[#This Row],[Date_d_adjudication]])</f>
        <v>2019</v>
      </c>
      <c r="E617" s="28">
        <f t="shared" si="9"/>
        <v>5</v>
      </c>
      <c r="F617" s="15">
        <v>43593</v>
      </c>
      <c r="G617" s="28">
        <v>91.16066444444445</v>
      </c>
      <c r="H617" s="15">
        <v>43959</v>
      </c>
      <c r="I617">
        <v>60</v>
      </c>
      <c r="J617">
        <v>15000</v>
      </c>
      <c r="K617" s="28">
        <v>8.7422000000000004</v>
      </c>
    </row>
    <row r="618" spans="1:12" ht="15" customHeight="1" x14ac:dyDescent="0.2">
      <c r="A618" s="28" t="s">
        <v>9</v>
      </c>
      <c r="B618" t="s">
        <v>30</v>
      </c>
      <c r="C618" s="30" t="s">
        <v>54</v>
      </c>
      <c r="D618" s="28">
        <f>YEAR(TableauFlitrage[[#This Row],[Date_d_adjudication]])</f>
        <v>2019</v>
      </c>
      <c r="E618" s="28">
        <f t="shared" si="9"/>
        <v>5</v>
      </c>
      <c r="F618" s="15">
        <v>43593</v>
      </c>
      <c r="G618" s="28">
        <v>101.82259999999999</v>
      </c>
      <c r="H618" s="15">
        <v>44382</v>
      </c>
      <c r="I618">
        <v>85</v>
      </c>
      <c r="J618">
        <v>10000</v>
      </c>
      <c r="K618" s="28">
        <v>5.75</v>
      </c>
      <c r="L618">
        <v>5.6447349365282848</v>
      </c>
    </row>
    <row r="619" spans="1:12" ht="15" customHeight="1" x14ac:dyDescent="0.2">
      <c r="A619" s="28" t="s">
        <v>9</v>
      </c>
      <c r="B619" s="2" t="s">
        <v>29</v>
      </c>
      <c r="C619" s="30">
        <v>0.5</v>
      </c>
      <c r="D619" s="28">
        <f>YEAR(TableauFlitrage[[#This Row],[Date_d_adjudication]])</f>
        <v>2019</v>
      </c>
      <c r="E619" s="28">
        <f t="shared" si="9"/>
        <v>5</v>
      </c>
      <c r="F619" s="15">
        <v>43600</v>
      </c>
      <c r="G619" s="28">
        <v>98.338896111111112</v>
      </c>
      <c r="H619" s="15">
        <v>43784</v>
      </c>
      <c r="I619">
        <v>143.5</v>
      </c>
      <c r="J619">
        <v>14000</v>
      </c>
      <c r="K619" s="28">
        <v>3.2856999999999998</v>
      </c>
    </row>
    <row r="620" spans="1:12" ht="15" customHeight="1" x14ac:dyDescent="0.2">
      <c r="A620" s="28" t="s">
        <v>11</v>
      </c>
      <c r="B620" s="2" t="s">
        <v>29</v>
      </c>
      <c r="C620" s="30">
        <v>0.5</v>
      </c>
      <c r="D620" s="28">
        <f>YEAR(TableauFlitrage[[#This Row],[Date_d_adjudication]])</f>
        <v>2019</v>
      </c>
      <c r="E620" s="28">
        <f t="shared" si="9"/>
        <v>5</v>
      </c>
      <c r="F620" s="15">
        <v>43600</v>
      </c>
      <c r="G620" s="28">
        <v>96.792452222222224</v>
      </c>
      <c r="H620" s="15">
        <v>43784</v>
      </c>
      <c r="I620">
        <v>119.20440000000001</v>
      </c>
      <c r="J620">
        <v>18225</v>
      </c>
      <c r="K620" s="28">
        <v>6.3445999999999998</v>
      </c>
    </row>
    <row r="621" spans="1:12" ht="15" customHeight="1" x14ac:dyDescent="0.2">
      <c r="A621" s="28" t="s">
        <v>11</v>
      </c>
      <c r="B621" s="2" t="s">
        <v>29</v>
      </c>
      <c r="C621" s="30">
        <v>0.5</v>
      </c>
      <c r="D621" s="28">
        <f>YEAR(TableauFlitrage[[#This Row],[Date_d_adjudication]])</f>
        <v>2019</v>
      </c>
      <c r="E621" s="28">
        <f t="shared" si="9"/>
        <v>5</v>
      </c>
      <c r="F621" s="15">
        <v>43607</v>
      </c>
      <c r="G621" s="28">
        <v>96.713888888888889</v>
      </c>
      <c r="H621" s="15">
        <v>43791</v>
      </c>
      <c r="I621">
        <v>104.90940000000001</v>
      </c>
      <c r="J621">
        <v>13851</v>
      </c>
      <c r="K621" s="28">
        <v>6.5</v>
      </c>
    </row>
    <row r="622" spans="1:12" ht="15" customHeight="1" x14ac:dyDescent="0.2">
      <c r="A622" s="28" t="s">
        <v>9</v>
      </c>
      <c r="B622" s="2" t="s">
        <v>29</v>
      </c>
      <c r="C622" s="30">
        <v>0.25</v>
      </c>
      <c r="D622" s="28">
        <f>YEAR(TableauFlitrage[[#This Row],[Date_d_adjudication]])</f>
        <v>2019</v>
      </c>
      <c r="E622" s="28">
        <f t="shared" si="9"/>
        <v>5</v>
      </c>
      <c r="F622" s="15">
        <v>43607</v>
      </c>
      <c r="G622" s="28">
        <v>99.15362416666666</v>
      </c>
      <c r="H622" s="15">
        <v>43700</v>
      </c>
      <c r="I622">
        <v>223.33330000000001</v>
      </c>
      <c r="J622">
        <v>15000</v>
      </c>
      <c r="K622" s="28">
        <v>3.3483000000000001</v>
      </c>
    </row>
    <row r="623" spans="1:12" ht="15" customHeight="1" x14ac:dyDescent="0.2">
      <c r="A623" s="28" t="s">
        <v>7</v>
      </c>
      <c r="B623" t="s">
        <v>30</v>
      </c>
      <c r="C623" s="30" t="s">
        <v>54</v>
      </c>
      <c r="D623" s="28">
        <f>YEAR(TableauFlitrage[[#This Row],[Date_d_adjudication]])</f>
        <v>2019</v>
      </c>
      <c r="E623" s="28">
        <f t="shared" si="9"/>
        <v>5</v>
      </c>
      <c r="F623" s="15">
        <v>43607</v>
      </c>
      <c r="G623" s="28">
        <v>99.672600000000003</v>
      </c>
      <c r="H623" s="15">
        <v>44705</v>
      </c>
      <c r="I623">
        <v>77.14</v>
      </c>
      <c r="J623">
        <v>100000</v>
      </c>
      <c r="K623" s="28">
        <v>4</v>
      </c>
      <c r="L623">
        <v>4.0132444807126726</v>
      </c>
    </row>
    <row r="624" spans="1:12" ht="15" customHeight="1" x14ac:dyDescent="0.2">
      <c r="A624" s="28" t="s">
        <v>8</v>
      </c>
      <c r="B624" s="2" t="s">
        <v>29</v>
      </c>
      <c r="C624" s="30">
        <v>0.5</v>
      </c>
      <c r="D624" s="28">
        <f>YEAR(TableauFlitrage[[#This Row],[Date_d_adjudication]])</f>
        <v>2019</v>
      </c>
      <c r="E624" s="28">
        <f t="shared" si="9"/>
        <v>5</v>
      </c>
      <c r="F624" s="15">
        <v>43614</v>
      </c>
      <c r="G624" s="28">
        <v>96.730723888888889</v>
      </c>
      <c r="H624" s="15">
        <v>43798</v>
      </c>
      <c r="I624">
        <v>172.22219999999999</v>
      </c>
      <c r="J624">
        <v>9000</v>
      </c>
      <c r="K624" s="28">
        <v>6.4667000000000003</v>
      </c>
    </row>
    <row r="625" spans="1:12" ht="15" customHeight="1" x14ac:dyDescent="0.2">
      <c r="A625" s="28" t="s">
        <v>9</v>
      </c>
      <c r="B625" s="2" t="s">
        <v>29</v>
      </c>
      <c r="C625" s="30">
        <v>0.25</v>
      </c>
      <c r="D625" s="28">
        <f>YEAR(TableauFlitrage[[#This Row],[Date_d_adjudication]])</f>
        <v>2019</v>
      </c>
      <c r="E625" s="28">
        <f t="shared" si="9"/>
        <v>5</v>
      </c>
      <c r="F625" s="15">
        <v>43614</v>
      </c>
      <c r="G625" s="28">
        <v>99.141819444444451</v>
      </c>
      <c r="H625" s="15">
        <v>43707</v>
      </c>
      <c r="I625">
        <v>132.66669999999999</v>
      </c>
      <c r="J625">
        <v>15000</v>
      </c>
      <c r="K625" s="28">
        <v>3.395</v>
      </c>
    </row>
    <row r="626" spans="1:12" ht="15" customHeight="1" x14ac:dyDescent="0.2">
      <c r="A626" s="28" t="s">
        <v>7</v>
      </c>
      <c r="B626" t="s">
        <v>30</v>
      </c>
      <c r="C626" s="30" t="s">
        <v>56</v>
      </c>
      <c r="D626" s="28">
        <f>YEAR(TableauFlitrage[[#This Row],[Date_d_adjudication]])</f>
        <v>2019</v>
      </c>
      <c r="E626" s="28">
        <f t="shared" si="9"/>
        <v>5</v>
      </c>
      <c r="F626" s="15">
        <v>43614</v>
      </c>
      <c r="G626" s="28">
        <v>98.278499999999994</v>
      </c>
      <c r="H626" s="15">
        <v>45077</v>
      </c>
      <c r="I626">
        <v>48.654000000000003</v>
      </c>
      <c r="J626">
        <v>100000</v>
      </c>
      <c r="K626" s="28">
        <v>4.75</v>
      </c>
      <c r="L626">
        <v>4.8332767837960358</v>
      </c>
    </row>
    <row r="627" spans="1:12" ht="15" customHeight="1" x14ac:dyDescent="0.2">
      <c r="A627" s="28" t="s">
        <v>8</v>
      </c>
      <c r="B627" s="2" t="s">
        <v>29</v>
      </c>
      <c r="C627" s="30">
        <v>1</v>
      </c>
      <c r="D627" s="28">
        <f>YEAR(TableauFlitrage[[#This Row],[Date_d_adjudication]])</f>
        <v>2019</v>
      </c>
      <c r="E627" s="28">
        <f t="shared" si="9"/>
        <v>6</v>
      </c>
      <c r="F627" s="15">
        <v>43621</v>
      </c>
      <c r="G627" s="28">
        <v>93.438900000000004</v>
      </c>
      <c r="H627" s="15">
        <v>43987</v>
      </c>
      <c r="I627">
        <v>114</v>
      </c>
      <c r="J627">
        <v>15000</v>
      </c>
      <c r="K627" s="28">
        <v>6.4889999999999999</v>
      </c>
    </row>
    <row r="628" spans="1:12" ht="15" customHeight="1" x14ac:dyDescent="0.2">
      <c r="A628" s="28" t="s">
        <v>9</v>
      </c>
      <c r="B628" s="2" t="s">
        <v>29</v>
      </c>
      <c r="C628" s="30">
        <v>0.25</v>
      </c>
      <c r="D628" s="28">
        <f>YEAR(TableauFlitrage[[#This Row],[Date_d_adjudication]])</f>
        <v>2019</v>
      </c>
      <c r="E628" s="28">
        <f t="shared" si="9"/>
        <v>6</v>
      </c>
      <c r="F628" s="15">
        <v>43621</v>
      </c>
      <c r="G628" s="28">
        <v>99.1270825</v>
      </c>
      <c r="H628" s="15">
        <v>43714</v>
      </c>
      <c r="I628">
        <v>100</v>
      </c>
      <c r="J628">
        <v>15000</v>
      </c>
      <c r="K628" s="28">
        <v>3.4533</v>
      </c>
    </row>
    <row r="629" spans="1:12" ht="15" customHeight="1" x14ac:dyDescent="0.2">
      <c r="A629" s="28" t="s">
        <v>14</v>
      </c>
      <c r="B629" s="2" t="s">
        <v>29</v>
      </c>
      <c r="C629" s="30">
        <v>0.5</v>
      </c>
      <c r="D629" s="28">
        <f>YEAR(TableauFlitrage[[#This Row],[Date_d_adjudication]])</f>
        <v>2019</v>
      </c>
      <c r="E629" s="28">
        <f t="shared" si="9"/>
        <v>6</v>
      </c>
      <c r="F629" s="15">
        <v>43621</v>
      </c>
      <c r="G629" s="28">
        <v>97.40902777777778</v>
      </c>
      <c r="H629" s="15">
        <v>43805</v>
      </c>
      <c r="I629">
        <v>100</v>
      </c>
      <c r="J629">
        <v>4000</v>
      </c>
      <c r="K629" s="28">
        <v>5.125</v>
      </c>
    </row>
    <row r="630" spans="1:12" ht="15" customHeight="1" x14ac:dyDescent="0.2">
      <c r="A630" s="28" t="s">
        <v>11</v>
      </c>
      <c r="B630" s="2" t="s">
        <v>29</v>
      </c>
      <c r="C630" s="30">
        <v>1</v>
      </c>
      <c r="D630" s="28">
        <f>YEAR(TableauFlitrage[[#This Row],[Date_d_adjudication]])</f>
        <v>2019</v>
      </c>
      <c r="E630" s="28">
        <f t="shared" si="9"/>
        <v>6</v>
      </c>
      <c r="F630" s="15">
        <v>43624</v>
      </c>
      <c r="G630" s="28">
        <v>93.481944444444451</v>
      </c>
      <c r="H630" s="15">
        <v>43987</v>
      </c>
      <c r="I630">
        <v>94.444400000000002</v>
      </c>
      <c r="J630">
        <v>24120</v>
      </c>
      <c r="K630" s="28">
        <v>6.5</v>
      </c>
    </row>
    <row r="631" spans="1:12" ht="15" customHeight="1" x14ac:dyDescent="0.2">
      <c r="A631" s="28" t="s">
        <v>9</v>
      </c>
      <c r="B631" s="2" t="s">
        <v>29</v>
      </c>
      <c r="C631" s="30">
        <v>0.25</v>
      </c>
      <c r="D631" s="28">
        <f>YEAR(TableauFlitrage[[#This Row],[Date_d_adjudication]])</f>
        <v>2019</v>
      </c>
      <c r="E631" s="28">
        <f t="shared" si="9"/>
        <v>6</v>
      </c>
      <c r="F631" s="15">
        <v>43628</v>
      </c>
      <c r="G631" s="28">
        <v>99.124756944444442</v>
      </c>
      <c r="H631" s="15">
        <v>43721</v>
      </c>
      <c r="I631">
        <v>167.5</v>
      </c>
      <c r="J631">
        <v>12000</v>
      </c>
      <c r="K631" s="28">
        <v>3.4624999999999999</v>
      </c>
    </row>
    <row r="632" spans="1:12" ht="15" customHeight="1" x14ac:dyDescent="0.2">
      <c r="A632" s="28" t="s">
        <v>11</v>
      </c>
      <c r="B632" s="2" t="s">
        <v>29</v>
      </c>
      <c r="C632" s="30">
        <v>0.5</v>
      </c>
      <c r="D632" s="28">
        <f>YEAR(TableauFlitrage[[#This Row],[Date_d_adjudication]])</f>
        <v>2019</v>
      </c>
      <c r="E632" s="28">
        <f t="shared" si="9"/>
        <v>6</v>
      </c>
      <c r="F632" s="15">
        <v>43628</v>
      </c>
      <c r="G632" s="28">
        <v>96.713888888888889</v>
      </c>
      <c r="H632" s="15">
        <v>43812</v>
      </c>
      <c r="I632">
        <v>67.426400000000001</v>
      </c>
      <c r="J632">
        <v>10530</v>
      </c>
      <c r="K632" s="28">
        <v>6.5</v>
      </c>
    </row>
    <row r="633" spans="1:12" ht="15" customHeight="1" x14ac:dyDescent="0.2">
      <c r="A633" s="28" t="s">
        <v>7</v>
      </c>
      <c r="B633" t="s">
        <v>30</v>
      </c>
      <c r="C633" s="30" t="s">
        <v>55</v>
      </c>
      <c r="D633" s="28">
        <f>YEAR(TableauFlitrage[[#This Row],[Date_d_adjudication]])</f>
        <v>2019</v>
      </c>
      <c r="E633" s="28">
        <f t="shared" si="9"/>
        <v>6</v>
      </c>
      <c r="F633" s="15">
        <v>43628</v>
      </c>
      <c r="G633" s="28">
        <v>98.174999999999997</v>
      </c>
      <c r="H633" s="15">
        <v>45457</v>
      </c>
      <c r="I633">
        <v>53.585099999999997</v>
      </c>
      <c r="J633">
        <v>100000</v>
      </c>
      <c r="K633" s="28">
        <v>5.6</v>
      </c>
      <c r="L633">
        <v>5.7041076520188145</v>
      </c>
    </row>
    <row r="634" spans="1:12" ht="15" customHeight="1" x14ac:dyDescent="0.2">
      <c r="A634" s="28" t="s">
        <v>7</v>
      </c>
      <c r="B634" s="2" t="s">
        <v>29</v>
      </c>
      <c r="C634" s="30">
        <v>0.25</v>
      </c>
      <c r="D634" s="28">
        <f>YEAR(TableauFlitrage[[#This Row],[Date_d_adjudication]])</f>
        <v>2019</v>
      </c>
      <c r="E634" s="28">
        <f t="shared" si="9"/>
        <v>6</v>
      </c>
      <c r="F634" s="15">
        <v>43635</v>
      </c>
      <c r="G634" s="28">
        <v>99.434106388888893</v>
      </c>
      <c r="H634" s="15">
        <v>43728</v>
      </c>
      <c r="I634">
        <v>160.86000000000001</v>
      </c>
      <c r="J634">
        <v>20000</v>
      </c>
      <c r="K634" s="28">
        <v>2.2387000000000001</v>
      </c>
    </row>
    <row r="635" spans="1:12" ht="15" customHeight="1" x14ac:dyDescent="0.2">
      <c r="A635" s="28" t="s">
        <v>9</v>
      </c>
      <c r="B635" s="2" t="s">
        <v>29</v>
      </c>
      <c r="C635" s="30">
        <v>0.25</v>
      </c>
      <c r="D635" s="28">
        <f>YEAR(TableauFlitrage[[#This Row],[Date_d_adjudication]])</f>
        <v>2019</v>
      </c>
      <c r="E635" s="28">
        <f t="shared" si="9"/>
        <v>6</v>
      </c>
      <c r="F635" s="15">
        <v>43635</v>
      </c>
      <c r="G635" s="28">
        <v>99.132138055555558</v>
      </c>
      <c r="H635" s="15">
        <v>43728</v>
      </c>
      <c r="I635">
        <v>168.5667</v>
      </c>
      <c r="J635">
        <v>15000</v>
      </c>
      <c r="K635" s="28">
        <v>3.4333</v>
      </c>
    </row>
    <row r="636" spans="1:12" ht="15" customHeight="1" x14ac:dyDescent="0.2">
      <c r="A636" s="28" t="s">
        <v>11</v>
      </c>
      <c r="B636" s="2" t="s">
        <v>29</v>
      </c>
      <c r="C636" s="30">
        <v>0.5</v>
      </c>
      <c r="D636" s="28">
        <f>YEAR(TableauFlitrage[[#This Row],[Date_d_adjudication]])</f>
        <v>2019</v>
      </c>
      <c r="E636" s="28">
        <f t="shared" si="9"/>
        <v>6</v>
      </c>
      <c r="F636" s="15">
        <v>43635</v>
      </c>
      <c r="G636" s="28">
        <v>96.713888888888889</v>
      </c>
      <c r="H636" s="15">
        <v>43819</v>
      </c>
      <c r="I636">
        <v>98.6</v>
      </c>
      <c r="J636">
        <v>10935</v>
      </c>
      <c r="K636" s="28">
        <v>6.5</v>
      </c>
    </row>
    <row r="637" spans="1:12" ht="15" customHeight="1" x14ac:dyDescent="0.2">
      <c r="A637" s="28" t="s">
        <v>8</v>
      </c>
      <c r="B637" t="s">
        <v>30</v>
      </c>
      <c r="C637" s="30" t="s">
        <v>53</v>
      </c>
      <c r="D637" s="28">
        <f>YEAR(TableauFlitrage[[#This Row],[Date_d_adjudication]])</f>
        <v>2019</v>
      </c>
      <c r="E637" s="28">
        <f t="shared" ref="E637:E700" si="10">MONTH(F637)</f>
        <v>6</v>
      </c>
      <c r="F637" s="15">
        <v>43635</v>
      </c>
      <c r="G637" s="28">
        <v>88.555599999999998</v>
      </c>
      <c r="H637" s="15">
        <v>44368</v>
      </c>
      <c r="I637">
        <v>120</v>
      </c>
      <c r="J637">
        <v>25000</v>
      </c>
      <c r="K637" s="28">
        <v>6.5</v>
      </c>
      <c r="L637">
        <v>7.3538375645435332</v>
      </c>
    </row>
    <row r="638" spans="1:12" ht="15" customHeight="1" x14ac:dyDescent="0.2">
      <c r="A638" s="28" t="s">
        <v>11</v>
      </c>
      <c r="B638" s="2" t="s">
        <v>29</v>
      </c>
      <c r="C638" s="30">
        <v>0.5</v>
      </c>
      <c r="D638" s="28">
        <f>YEAR(TableauFlitrage[[#This Row],[Date_d_adjudication]])</f>
        <v>2019</v>
      </c>
      <c r="E638" s="28">
        <f t="shared" si="10"/>
        <v>6</v>
      </c>
      <c r="F638" s="15">
        <v>43638</v>
      </c>
      <c r="G638" s="28">
        <v>96.903747499999994</v>
      </c>
      <c r="H638" s="15">
        <v>43819</v>
      </c>
      <c r="I638">
        <v>106.2123</v>
      </c>
      <c r="J638">
        <v>32500</v>
      </c>
      <c r="K638" s="28">
        <v>6.2271000000000001</v>
      </c>
    </row>
    <row r="639" spans="1:12" ht="15" customHeight="1" x14ac:dyDescent="0.2">
      <c r="A639" s="28" t="s">
        <v>9</v>
      </c>
      <c r="B639" s="2" t="s">
        <v>29</v>
      </c>
      <c r="C639" s="30">
        <v>1</v>
      </c>
      <c r="D639" s="28">
        <f>YEAR(TableauFlitrage[[#This Row],[Date_d_adjudication]])</f>
        <v>2019</v>
      </c>
      <c r="E639" s="28">
        <f t="shared" si="10"/>
        <v>6</v>
      </c>
      <c r="F639" s="15">
        <v>43642</v>
      </c>
      <c r="G639" s="28">
        <v>95.816224444444444</v>
      </c>
      <c r="H639" s="15">
        <v>44008</v>
      </c>
      <c r="I639">
        <v>118.8467</v>
      </c>
      <c r="J639">
        <v>15000</v>
      </c>
      <c r="K639" s="28">
        <v>4.1378000000000004</v>
      </c>
    </row>
    <row r="640" spans="1:12" ht="15" customHeight="1" x14ac:dyDescent="0.2">
      <c r="A640" s="28" t="s">
        <v>11</v>
      </c>
      <c r="B640" s="2" t="s">
        <v>29</v>
      </c>
      <c r="C640" s="30">
        <v>0.5</v>
      </c>
      <c r="D640" s="28">
        <f>YEAR(TableauFlitrage[[#This Row],[Date_d_adjudication]])</f>
        <v>2019</v>
      </c>
      <c r="E640" s="28">
        <f t="shared" si="10"/>
        <v>6</v>
      </c>
      <c r="F640" s="15">
        <v>43642</v>
      </c>
      <c r="G640" s="28">
        <v>96.713888888888889</v>
      </c>
      <c r="H640" s="15">
        <v>43826</v>
      </c>
      <c r="I640">
        <v>92.592600000000004</v>
      </c>
      <c r="J640">
        <v>33750</v>
      </c>
      <c r="K640" s="28">
        <v>6.5</v>
      </c>
    </row>
    <row r="641" spans="1:12" ht="15" customHeight="1" x14ac:dyDescent="0.2">
      <c r="A641" s="28" t="s">
        <v>9</v>
      </c>
      <c r="B641" s="2" t="s">
        <v>29</v>
      </c>
      <c r="C641" s="30">
        <v>0.5</v>
      </c>
      <c r="D641" s="28">
        <f>YEAR(TableauFlitrage[[#This Row],[Date_d_adjudication]])</f>
        <v>2019</v>
      </c>
      <c r="E641" s="28">
        <f t="shared" si="10"/>
        <v>7</v>
      </c>
      <c r="F641" s="15">
        <v>43649.583333333336</v>
      </c>
      <c r="G641" s="28">
        <v>98.072670555555561</v>
      </c>
      <c r="H641" s="15">
        <v>43833</v>
      </c>
      <c r="I641">
        <v>208.63640000000001</v>
      </c>
      <c r="J641">
        <v>11000</v>
      </c>
      <c r="K641" s="28">
        <v>3.8123</v>
      </c>
    </row>
    <row r="642" spans="1:12" ht="15" customHeight="1" x14ac:dyDescent="0.2">
      <c r="A642" s="28" t="s">
        <v>9</v>
      </c>
      <c r="B642" t="s">
        <v>30</v>
      </c>
      <c r="C642" s="30" t="s">
        <v>54</v>
      </c>
      <c r="D642" s="28">
        <f>YEAR(TableauFlitrage[[#This Row],[Date_d_adjudication]])</f>
        <v>2019</v>
      </c>
      <c r="E642" s="28">
        <f t="shared" si="10"/>
        <v>7</v>
      </c>
      <c r="F642" s="15">
        <v>43649.583333333336</v>
      </c>
      <c r="G642" s="28">
        <v>99.86</v>
      </c>
      <c r="H642" s="15">
        <v>44649</v>
      </c>
      <c r="I642">
        <v>90.25</v>
      </c>
      <c r="J642">
        <v>20000</v>
      </c>
      <c r="K642" s="28">
        <v>5.75</v>
      </c>
      <c r="L642">
        <v>5.7580875251239076</v>
      </c>
    </row>
    <row r="643" spans="1:12" ht="15" customHeight="1" x14ac:dyDescent="0.2">
      <c r="A643" s="28" t="s">
        <v>8</v>
      </c>
      <c r="B643" s="2" t="s">
        <v>29</v>
      </c>
      <c r="C643" s="30">
        <v>0.5</v>
      </c>
      <c r="D643" s="28">
        <f>YEAR(TableauFlitrage[[#This Row],[Date_d_adjudication]])</f>
        <v>2019</v>
      </c>
      <c r="E643" s="28">
        <f t="shared" si="10"/>
        <v>7</v>
      </c>
      <c r="F643" s="15">
        <v>43649.708333333336</v>
      </c>
      <c r="G643" s="28">
        <v>96.669753888888891</v>
      </c>
      <c r="H643" s="15">
        <v>43833</v>
      </c>
      <c r="I643">
        <v>110</v>
      </c>
      <c r="J643">
        <v>10000</v>
      </c>
      <c r="K643" s="28">
        <v>6.5872999999999999</v>
      </c>
    </row>
    <row r="644" spans="1:12" ht="15" customHeight="1" x14ac:dyDescent="0.2">
      <c r="A644" s="28" t="s">
        <v>7</v>
      </c>
      <c r="B644" s="2" t="s">
        <v>29</v>
      </c>
      <c r="C644" s="30">
        <v>0.25</v>
      </c>
      <c r="D644" s="28">
        <f>YEAR(TableauFlitrage[[#This Row],[Date_d_adjudication]])</f>
        <v>2019</v>
      </c>
      <c r="E644" s="28">
        <f t="shared" si="10"/>
        <v>7</v>
      </c>
      <c r="F644" s="15">
        <v>43656.583333333336</v>
      </c>
      <c r="G644" s="28">
        <v>99.409763888888889</v>
      </c>
      <c r="H644" s="15">
        <v>43749</v>
      </c>
      <c r="I644">
        <v>100</v>
      </c>
      <c r="J644">
        <v>30000</v>
      </c>
      <c r="K644" s="28">
        <v>2.335</v>
      </c>
    </row>
    <row r="645" spans="1:12" ht="15" customHeight="1" x14ac:dyDescent="0.2">
      <c r="A645" s="28" t="s">
        <v>9</v>
      </c>
      <c r="B645" s="2" t="s">
        <v>29</v>
      </c>
      <c r="C645" s="30">
        <v>0.25</v>
      </c>
      <c r="D645" s="28">
        <f>YEAR(TableauFlitrage[[#This Row],[Date_d_adjudication]])</f>
        <v>2019</v>
      </c>
      <c r="E645" s="28">
        <f t="shared" si="10"/>
        <v>7</v>
      </c>
      <c r="F645" s="15">
        <v>43656.583333333336</v>
      </c>
      <c r="G645" s="28">
        <v>99.106809722222224</v>
      </c>
      <c r="H645" s="15">
        <v>43749</v>
      </c>
      <c r="I645">
        <v>190.76920000000001</v>
      </c>
      <c r="J645">
        <v>13000</v>
      </c>
      <c r="K645" s="28">
        <v>3.5335000000000001</v>
      </c>
    </row>
    <row r="646" spans="1:12" ht="15" customHeight="1" x14ac:dyDescent="0.2">
      <c r="A646" s="28" t="s">
        <v>8</v>
      </c>
      <c r="B646" s="2" t="s">
        <v>29</v>
      </c>
      <c r="C646" s="30">
        <v>1</v>
      </c>
      <c r="D646" s="28">
        <f>YEAR(TableauFlitrage[[#This Row],[Date_d_adjudication]])</f>
        <v>2019</v>
      </c>
      <c r="E646" s="28">
        <f t="shared" si="10"/>
        <v>7</v>
      </c>
      <c r="F646" s="15">
        <v>43656.708333333336</v>
      </c>
      <c r="G646" s="28">
        <v>93.428586666666661</v>
      </c>
      <c r="H646" s="15">
        <v>44022</v>
      </c>
      <c r="I646">
        <v>94.08</v>
      </c>
      <c r="J646">
        <v>15000</v>
      </c>
      <c r="K646" s="28">
        <v>6.4992000000000001</v>
      </c>
    </row>
    <row r="647" spans="1:12" ht="15" customHeight="1" x14ac:dyDescent="0.2">
      <c r="A647" s="28" t="s">
        <v>10</v>
      </c>
      <c r="B647" s="2" t="s">
        <v>29</v>
      </c>
      <c r="C647" s="30">
        <v>1</v>
      </c>
      <c r="D647" s="28">
        <f>YEAR(TableauFlitrage[[#This Row],[Date_d_adjudication]])</f>
        <v>2019</v>
      </c>
      <c r="E647" s="28">
        <f t="shared" si="10"/>
        <v>7</v>
      </c>
      <c r="F647" s="15">
        <v>43656.708333333336</v>
      </c>
      <c r="G647" s="28">
        <v>91.653277777777774</v>
      </c>
      <c r="H647" s="15">
        <v>44022</v>
      </c>
      <c r="I647">
        <v>86.666700000000006</v>
      </c>
      <c r="J647">
        <v>15000</v>
      </c>
      <c r="K647" s="28">
        <v>8.2550000000000008</v>
      </c>
    </row>
    <row r="648" spans="1:12" ht="15" customHeight="1" x14ac:dyDescent="0.2">
      <c r="A648" s="28" t="s">
        <v>11</v>
      </c>
      <c r="B648" s="2" t="s">
        <v>29</v>
      </c>
      <c r="C648" s="30">
        <v>0.5</v>
      </c>
      <c r="D648" s="28">
        <f>YEAR(TableauFlitrage[[#This Row],[Date_d_adjudication]])</f>
        <v>2019</v>
      </c>
      <c r="E648" s="28">
        <f t="shared" si="10"/>
        <v>7</v>
      </c>
      <c r="F648" s="15">
        <v>43656.833333333336</v>
      </c>
      <c r="G648" s="28">
        <v>96.713888888888889</v>
      </c>
      <c r="H648" s="15">
        <v>43840</v>
      </c>
      <c r="I648">
        <v>83.336100000000002</v>
      </c>
      <c r="J648">
        <v>18225</v>
      </c>
      <c r="K648" s="28">
        <v>6.5</v>
      </c>
    </row>
    <row r="649" spans="1:12" ht="15" customHeight="1" x14ac:dyDescent="0.2">
      <c r="A649" s="28" t="s">
        <v>7</v>
      </c>
      <c r="B649" s="2" t="s">
        <v>29</v>
      </c>
      <c r="C649" s="30">
        <v>0.5</v>
      </c>
      <c r="D649" s="28">
        <f>YEAR(TableauFlitrage[[#This Row],[Date_d_adjudication]])</f>
        <v>2019</v>
      </c>
      <c r="E649" s="28">
        <f t="shared" si="10"/>
        <v>7</v>
      </c>
      <c r="F649" s="15">
        <v>43663.583333333336</v>
      </c>
      <c r="G649" s="28">
        <v>98.703249999999997</v>
      </c>
      <c r="H649" s="15">
        <v>43847</v>
      </c>
      <c r="I649">
        <v>120</v>
      </c>
      <c r="J649">
        <v>30000</v>
      </c>
      <c r="K649" s="28">
        <v>2.5649999999999999</v>
      </c>
    </row>
    <row r="650" spans="1:12" ht="15" customHeight="1" x14ac:dyDescent="0.2">
      <c r="A650" s="28" t="s">
        <v>9</v>
      </c>
      <c r="B650" s="2" t="s">
        <v>29</v>
      </c>
      <c r="C650" s="30">
        <v>0.5</v>
      </c>
      <c r="D650" s="28">
        <f>YEAR(TableauFlitrage[[#This Row],[Date_d_adjudication]])</f>
        <v>2019</v>
      </c>
      <c r="E650" s="28">
        <f t="shared" si="10"/>
        <v>7</v>
      </c>
      <c r="F650" s="15">
        <v>43663.583333333336</v>
      </c>
      <c r="G650" s="28">
        <v>97.959678888888888</v>
      </c>
      <c r="H650" s="15">
        <v>43847</v>
      </c>
      <c r="I650">
        <v>197.33330000000001</v>
      </c>
      <c r="J650">
        <v>15000</v>
      </c>
      <c r="K650" s="28">
        <v>4.0358000000000001</v>
      </c>
    </row>
    <row r="651" spans="1:12" ht="15" customHeight="1" x14ac:dyDescent="0.2">
      <c r="A651" s="28" t="s">
        <v>11</v>
      </c>
      <c r="B651" s="2" t="s">
        <v>29</v>
      </c>
      <c r="C651" s="30">
        <v>0.5</v>
      </c>
      <c r="D651" s="28">
        <f>YEAR(TableauFlitrage[[#This Row],[Date_d_adjudication]])</f>
        <v>2019</v>
      </c>
      <c r="E651" s="28">
        <f t="shared" si="10"/>
        <v>7</v>
      </c>
      <c r="F651" s="15">
        <v>43663.708333333336</v>
      </c>
      <c r="G651" s="28">
        <v>96.850489999999994</v>
      </c>
      <c r="H651" s="15">
        <v>43847</v>
      </c>
      <c r="I651">
        <v>113.90260000000001</v>
      </c>
      <c r="J651">
        <v>14170</v>
      </c>
      <c r="K651" s="28">
        <v>6.2298</v>
      </c>
    </row>
    <row r="652" spans="1:12" ht="15" customHeight="1" x14ac:dyDescent="0.2">
      <c r="A652" s="28" t="s">
        <v>9</v>
      </c>
      <c r="B652" s="2" t="s">
        <v>29</v>
      </c>
      <c r="C652" s="30">
        <v>0.25</v>
      </c>
      <c r="D652" s="28">
        <f>YEAR(TableauFlitrage[[#This Row],[Date_d_adjudication]])</f>
        <v>2019</v>
      </c>
      <c r="E652" s="28">
        <f t="shared" si="10"/>
        <v>7</v>
      </c>
      <c r="F652" s="15">
        <v>43670.583333333336</v>
      </c>
      <c r="G652" s="28">
        <v>99.137016666666668</v>
      </c>
      <c r="H652" s="15">
        <v>43763</v>
      </c>
      <c r="I652">
        <v>258</v>
      </c>
      <c r="J652">
        <v>15000</v>
      </c>
      <c r="K652" s="28">
        <v>3.4140000000000001</v>
      </c>
    </row>
    <row r="653" spans="1:12" ht="15" customHeight="1" x14ac:dyDescent="0.2">
      <c r="A653" s="28" t="s">
        <v>8</v>
      </c>
      <c r="B653" s="2" t="s">
        <v>29</v>
      </c>
      <c r="C653" s="30">
        <v>0.5</v>
      </c>
      <c r="D653" s="28">
        <f>YEAR(TableauFlitrage[[#This Row],[Date_d_adjudication]])</f>
        <v>2019</v>
      </c>
      <c r="E653" s="28">
        <f t="shared" si="10"/>
        <v>7</v>
      </c>
      <c r="F653" s="15">
        <v>43670.708333333336</v>
      </c>
      <c r="G653" s="28">
        <v>96.782138888888895</v>
      </c>
      <c r="H653" s="15">
        <v>43854</v>
      </c>
      <c r="I653">
        <v>200</v>
      </c>
      <c r="J653">
        <v>10000</v>
      </c>
      <c r="K653" s="28">
        <v>6.3650000000000002</v>
      </c>
    </row>
    <row r="654" spans="1:12" ht="15" customHeight="1" x14ac:dyDescent="0.2">
      <c r="A654" s="28" t="s">
        <v>11</v>
      </c>
      <c r="B654" s="2" t="s">
        <v>29</v>
      </c>
      <c r="C654" s="30">
        <v>0.5</v>
      </c>
      <c r="D654" s="28">
        <f>YEAR(TableauFlitrage[[#This Row],[Date_d_adjudication]])</f>
        <v>2019</v>
      </c>
      <c r="E654" s="28">
        <f t="shared" si="10"/>
        <v>7</v>
      </c>
      <c r="F654" s="15">
        <v>43670.708333333336</v>
      </c>
      <c r="G654" s="28">
        <v>96.713888888888889</v>
      </c>
      <c r="H654" s="15">
        <v>43854</v>
      </c>
      <c r="I654">
        <v>111.11109999999999</v>
      </c>
      <c r="J654">
        <v>4860</v>
      </c>
      <c r="K654" s="28">
        <v>6.5</v>
      </c>
    </row>
    <row r="655" spans="1:12" ht="15" customHeight="1" x14ac:dyDescent="0.2">
      <c r="A655" s="28" t="s">
        <v>9</v>
      </c>
      <c r="B655" s="2" t="s">
        <v>29</v>
      </c>
      <c r="C655" s="30">
        <v>0.25</v>
      </c>
      <c r="D655" s="28">
        <f>YEAR(TableauFlitrage[[#This Row],[Date_d_adjudication]])</f>
        <v>2019</v>
      </c>
      <c r="E655" s="28">
        <f t="shared" si="10"/>
        <v>7</v>
      </c>
      <c r="F655" s="15">
        <v>43677.458333333336</v>
      </c>
      <c r="G655" s="28">
        <v>99.182263888888883</v>
      </c>
      <c r="H655" s="15">
        <v>43770</v>
      </c>
      <c r="I655">
        <v>313.33300000000003</v>
      </c>
      <c r="J655">
        <v>15000</v>
      </c>
      <c r="K655" s="28">
        <v>3.2349999999999999</v>
      </c>
    </row>
    <row r="656" spans="1:12" ht="15" customHeight="1" x14ac:dyDescent="0.2">
      <c r="A656" s="28" t="s">
        <v>7</v>
      </c>
      <c r="B656" t="s">
        <v>30</v>
      </c>
      <c r="C656" s="30" t="s">
        <v>55</v>
      </c>
      <c r="D656" s="28">
        <f>YEAR(TableauFlitrage[[#This Row],[Date_d_adjudication]])</f>
        <v>2019</v>
      </c>
      <c r="E656" s="28">
        <f t="shared" si="10"/>
        <v>7</v>
      </c>
      <c r="F656" s="15">
        <v>43677.645833333336</v>
      </c>
      <c r="G656" s="28">
        <v>99</v>
      </c>
      <c r="H656" s="15">
        <v>45457</v>
      </c>
      <c r="I656">
        <v>24.417999999999999</v>
      </c>
      <c r="J656">
        <v>100000</v>
      </c>
      <c r="K656" s="28">
        <v>5.6</v>
      </c>
      <c r="L656">
        <v>5.656570028752153</v>
      </c>
    </row>
    <row r="657" spans="1:12" ht="15" customHeight="1" x14ac:dyDescent="0.2">
      <c r="A657" s="28" t="s">
        <v>11</v>
      </c>
      <c r="B657" s="2" t="s">
        <v>29</v>
      </c>
      <c r="C657" s="30">
        <v>0.5</v>
      </c>
      <c r="D657" s="28">
        <f>YEAR(TableauFlitrage[[#This Row],[Date_d_adjudication]])</f>
        <v>2019</v>
      </c>
      <c r="E657" s="28">
        <f t="shared" si="10"/>
        <v>7</v>
      </c>
      <c r="F657" s="15">
        <v>43677.666666666664</v>
      </c>
      <c r="G657" s="28">
        <v>96.873947777777772</v>
      </c>
      <c r="H657" s="15">
        <v>43861</v>
      </c>
      <c r="I657">
        <v>153.3502</v>
      </c>
      <c r="J657">
        <v>9477</v>
      </c>
      <c r="K657" s="28">
        <v>6.1833999999999998</v>
      </c>
    </row>
    <row r="658" spans="1:12" ht="15" customHeight="1" x14ac:dyDescent="0.2">
      <c r="A658" s="28" t="s">
        <v>9</v>
      </c>
      <c r="B658" s="2" t="s">
        <v>29</v>
      </c>
      <c r="C658" s="30">
        <v>0.25</v>
      </c>
      <c r="D658" s="28">
        <f>YEAR(TableauFlitrage[[#This Row],[Date_d_adjudication]])</f>
        <v>2019</v>
      </c>
      <c r="E658" s="28">
        <f t="shared" si="10"/>
        <v>8</v>
      </c>
      <c r="F658" s="15">
        <v>43684.416666666664</v>
      </c>
      <c r="G658" s="28">
        <v>99.156708055555555</v>
      </c>
      <c r="H658" s="15">
        <v>43777</v>
      </c>
      <c r="I658">
        <v>270</v>
      </c>
      <c r="J658">
        <v>14000</v>
      </c>
      <c r="K658" s="28">
        <v>3.3361000000000001</v>
      </c>
    </row>
    <row r="659" spans="1:12" ht="15" customHeight="1" x14ac:dyDescent="0.2">
      <c r="A659" s="28" t="s">
        <v>7</v>
      </c>
      <c r="B659" s="2" t="s">
        <v>29</v>
      </c>
      <c r="C659" s="30">
        <v>0.25</v>
      </c>
      <c r="D659" s="28">
        <f>YEAR(TableauFlitrage[[#This Row],[Date_d_adjudication]])</f>
        <v>2019</v>
      </c>
      <c r="E659" s="28">
        <f t="shared" si="10"/>
        <v>8</v>
      </c>
      <c r="F659" s="15">
        <v>43684.5</v>
      </c>
      <c r="G659" s="28">
        <v>99.413555555555561</v>
      </c>
      <c r="H659" s="15">
        <v>43777</v>
      </c>
      <c r="I659">
        <v>196.095</v>
      </c>
      <c r="J659">
        <v>20000</v>
      </c>
      <c r="K659" s="28">
        <v>2.3199999999999998</v>
      </c>
    </row>
    <row r="660" spans="1:12" ht="15" customHeight="1" x14ac:dyDescent="0.2">
      <c r="A660" s="28" t="s">
        <v>10</v>
      </c>
      <c r="B660" s="2" t="s">
        <v>29</v>
      </c>
      <c r="C660" s="30">
        <v>1</v>
      </c>
      <c r="D660" s="28">
        <f>YEAR(TableauFlitrage[[#This Row],[Date_d_adjudication]])</f>
        <v>2019</v>
      </c>
      <c r="E660" s="28">
        <f t="shared" si="10"/>
        <v>8</v>
      </c>
      <c r="F660" s="15">
        <v>43684.541666666664</v>
      </c>
      <c r="G660" s="28">
        <v>91.015974444444439</v>
      </c>
      <c r="H660" s="15">
        <v>44050</v>
      </c>
      <c r="I660">
        <v>218.66669999999999</v>
      </c>
      <c r="J660">
        <v>15000</v>
      </c>
      <c r="K660" s="28">
        <v>8.8853000000000009</v>
      </c>
    </row>
    <row r="661" spans="1:12" ht="15" customHeight="1" x14ac:dyDescent="0.2">
      <c r="A661" s="28" t="s">
        <v>8</v>
      </c>
      <c r="B661" s="2" t="s">
        <v>29</v>
      </c>
      <c r="C661" s="30">
        <v>0.5</v>
      </c>
      <c r="D661" s="28">
        <f>YEAR(TableauFlitrage[[#This Row],[Date_d_adjudication]])</f>
        <v>2019</v>
      </c>
      <c r="E661" s="28">
        <f t="shared" si="10"/>
        <v>8</v>
      </c>
      <c r="F661" s="15">
        <v>43684.666666666664</v>
      </c>
      <c r="G661" s="28">
        <v>96.784514999999999</v>
      </c>
      <c r="H661" s="15">
        <v>43868</v>
      </c>
      <c r="I661">
        <v>190.83</v>
      </c>
      <c r="J661">
        <v>10000</v>
      </c>
      <c r="K661" s="28">
        <v>6.3602999999999996</v>
      </c>
    </row>
    <row r="662" spans="1:12" ht="15" customHeight="1" x14ac:dyDescent="0.2">
      <c r="A662" s="28" t="s">
        <v>11</v>
      </c>
      <c r="B662" s="2" t="s">
        <v>29</v>
      </c>
      <c r="C662" s="30">
        <v>0.5</v>
      </c>
      <c r="D662" s="28">
        <f>YEAR(TableauFlitrage[[#This Row],[Date_d_adjudication]])</f>
        <v>2019</v>
      </c>
      <c r="E662" s="28">
        <f t="shared" si="10"/>
        <v>8</v>
      </c>
      <c r="F662" s="15">
        <v>43684.666666666664</v>
      </c>
      <c r="G662" s="28">
        <v>96.845232222222222</v>
      </c>
      <c r="H662" s="15">
        <v>43868</v>
      </c>
      <c r="I662">
        <v>131.68719999999999</v>
      </c>
      <c r="J662">
        <v>9720</v>
      </c>
      <c r="K662" s="28">
        <v>6.2401999999999997</v>
      </c>
    </row>
    <row r="663" spans="1:12" ht="15" customHeight="1" x14ac:dyDescent="0.2">
      <c r="A663" s="28" t="s">
        <v>9</v>
      </c>
      <c r="B663" s="2" t="s">
        <v>29</v>
      </c>
      <c r="C663" s="30">
        <v>0.5</v>
      </c>
      <c r="D663" s="28">
        <f>YEAR(TableauFlitrage[[#This Row],[Date_d_adjudication]])</f>
        <v>2019</v>
      </c>
      <c r="E663" s="28">
        <f t="shared" si="10"/>
        <v>8</v>
      </c>
      <c r="F663" s="15">
        <v>43691.520833333336</v>
      </c>
      <c r="G663" s="28">
        <v>98.024137222222222</v>
      </c>
      <c r="H663" s="15">
        <v>43875</v>
      </c>
      <c r="I663">
        <v>166.66669999999999</v>
      </c>
      <c r="J663">
        <v>12000</v>
      </c>
      <c r="K663" s="28">
        <v>3.9083000000000001</v>
      </c>
    </row>
    <row r="664" spans="1:12" ht="15" customHeight="1" x14ac:dyDescent="0.2">
      <c r="A664" s="28" t="s">
        <v>9</v>
      </c>
      <c r="B664" s="2" t="s">
        <v>29</v>
      </c>
      <c r="C664" s="30">
        <v>0.25</v>
      </c>
      <c r="D664" s="28">
        <f>YEAR(TableauFlitrage[[#This Row],[Date_d_adjudication]])</f>
        <v>2019</v>
      </c>
      <c r="E664" s="28">
        <f t="shared" si="10"/>
        <v>8</v>
      </c>
      <c r="F664" s="15">
        <v>43698.458333333336</v>
      </c>
      <c r="G664" s="28">
        <v>99.152360277777774</v>
      </c>
      <c r="H664" s="15">
        <v>43791</v>
      </c>
      <c r="I664">
        <v>256.66669999999999</v>
      </c>
      <c r="J664">
        <v>15000</v>
      </c>
      <c r="K664" s="28">
        <v>3.3532999999999999</v>
      </c>
    </row>
    <row r="665" spans="1:12" ht="15" customHeight="1" x14ac:dyDescent="0.2">
      <c r="A665" s="28" t="s">
        <v>7</v>
      </c>
      <c r="B665" t="s">
        <v>30</v>
      </c>
      <c r="C665" s="30" t="s">
        <v>54</v>
      </c>
      <c r="D665" s="28">
        <f>YEAR(TableauFlitrage[[#This Row],[Date_d_adjudication]])</f>
        <v>2019</v>
      </c>
      <c r="E665" s="28">
        <f t="shared" si="10"/>
        <v>8</v>
      </c>
      <c r="F665" s="15">
        <v>43698.583333333336</v>
      </c>
      <c r="G665" s="28">
        <v>98.994500000000002</v>
      </c>
      <c r="H665" s="15">
        <v>44705</v>
      </c>
      <c r="I665">
        <v>28</v>
      </c>
      <c r="J665">
        <v>50000</v>
      </c>
      <c r="K665" s="28">
        <v>4</v>
      </c>
      <c r="L665">
        <v>4.0409514589668873</v>
      </c>
    </row>
    <row r="666" spans="1:12" ht="15" customHeight="1" x14ac:dyDescent="0.2">
      <c r="A666" s="28" t="s">
        <v>11</v>
      </c>
      <c r="B666" s="2" t="s">
        <v>29</v>
      </c>
      <c r="C666" s="30">
        <v>0.5</v>
      </c>
      <c r="D666" s="28">
        <f>YEAR(TableauFlitrage[[#This Row],[Date_d_adjudication]])</f>
        <v>2019</v>
      </c>
      <c r="E666" s="28">
        <f t="shared" si="10"/>
        <v>8</v>
      </c>
      <c r="F666" s="15">
        <v>43698.666666666664</v>
      </c>
      <c r="G666" s="28">
        <v>96.756911666666667</v>
      </c>
      <c r="H666" s="15">
        <v>43882</v>
      </c>
      <c r="I666">
        <v>97.523499999999999</v>
      </c>
      <c r="J666">
        <v>10418</v>
      </c>
      <c r="K666" s="28">
        <v>6.4149000000000003</v>
      </c>
    </row>
    <row r="667" spans="1:12" ht="15" customHeight="1" x14ac:dyDescent="0.2">
      <c r="A667" s="28" t="s">
        <v>9</v>
      </c>
      <c r="B667" s="2" t="s">
        <v>29</v>
      </c>
      <c r="C667" s="30">
        <v>0.25</v>
      </c>
      <c r="D667" s="28">
        <f>YEAR(TableauFlitrage[[#This Row],[Date_d_adjudication]])</f>
        <v>2019</v>
      </c>
      <c r="E667" s="28">
        <f t="shared" si="10"/>
        <v>8</v>
      </c>
      <c r="F667" s="15">
        <v>43705.375</v>
      </c>
      <c r="G667" s="28">
        <v>99.04179527777778</v>
      </c>
      <c r="H667" s="15">
        <v>43798</v>
      </c>
      <c r="I667">
        <v>170</v>
      </c>
      <c r="J667">
        <v>15000</v>
      </c>
      <c r="K667" s="28">
        <v>3.7907000000000002</v>
      </c>
    </row>
    <row r="668" spans="1:12" ht="15" customHeight="1" x14ac:dyDescent="0.2">
      <c r="A668" s="28" t="s">
        <v>7</v>
      </c>
      <c r="B668" s="2" t="s">
        <v>29</v>
      </c>
      <c r="C668" s="30">
        <v>0.5</v>
      </c>
      <c r="D668" s="28">
        <f>YEAR(TableauFlitrage[[#This Row],[Date_d_adjudication]])</f>
        <v>2019</v>
      </c>
      <c r="E668" s="28">
        <f t="shared" si="10"/>
        <v>8</v>
      </c>
      <c r="F668" s="15">
        <v>43705.5</v>
      </c>
      <c r="G668" s="28">
        <v>98.803501666666662</v>
      </c>
      <c r="H668" s="15">
        <v>43889</v>
      </c>
      <c r="I668">
        <v>218.33330000000001</v>
      </c>
      <c r="J668">
        <v>30000</v>
      </c>
      <c r="K668" s="28">
        <v>2.3666999999999998</v>
      </c>
    </row>
    <row r="669" spans="1:12" ht="15" customHeight="1" x14ac:dyDescent="0.2">
      <c r="A669" s="28" t="s">
        <v>10</v>
      </c>
      <c r="B669" s="2" t="s">
        <v>29</v>
      </c>
      <c r="C669" s="30">
        <v>0.5</v>
      </c>
      <c r="D669" s="28">
        <f>YEAR(TableauFlitrage[[#This Row],[Date_d_adjudication]])</f>
        <v>2019</v>
      </c>
      <c r="E669" s="28">
        <f t="shared" si="10"/>
        <v>8</v>
      </c>
      <c r="F669" s="15">
        <v>43705.541666666664</v>
      </c>
      <c r="G669" s="28">
        <v>96.079416666666674</v>
      </c>
      <c r="H669" s="15">
        <v>43889</v>
      </c>
      <c r="I669">
        <v>240</v>
      </c>
      <c r="J669">
        <v>5000</v>
      </c>
      <c r="K669" s="28">
        <v>7.7549999999999999</v>
      </c>
    </row>
    <row r="670" spans="1:12" ht="15" customHeight="1" x14ac:dyDescent="0.2">
      <c r="A670" s="28" t="s">
        <v>8</v>
      </c>
      <c r="B670" s="2" t="s">
        <v>29</v>
      </c>
      <c r="C670" s="30">
        <v>1</v>
      </c>
      <c r="D670" s="28">
        <f>YEAR(TableauFlitrage[[#This Row],[Date_d_adjudication]])</f>
        <v>2019</v>
      </c>
      <c r="E670" s="28">
        <f t="shared" si="10"/>
        <v>8</v>
      </c>
      <c r="F670" s="15">
        <v>43705.666666666664</v>
      </c>
      <c r="G670" s="28">
        <v>93.462256666666661</v>
      </c>
      <c r="H670" s="15">
        <v>44071</v>
      </c>
      <c r="I670">
        <v>146.83330000000001</v>
      </c>
      <c r="J670">
        <v>15000</v>
      </c>
      <c r="K670" s="28">
        <v>6.4659000000000004</v>
      </c>
    </row>
    <row r="671" spans="1:12" ht="15" customHeight="1" x14ac:dyDescent="0.2">
      <c r="A671" s="28" t="s">
        <v>11</v>
      </c>
      <c r="B671" s="2" t="s">
        <v>29</v>
      </c>
      <c r="C671" s="30">
        <v>0.5</v>
      </c>
      <c r="D671" s="28">
        <f>YEAR(TableauFlitrage[[#This Row],[Date_d_adjudication]])</f>
        <v>2019</v>
      </c>
      <c r="E671" s="28">
        <f t="shared" si="10"/>
        <v>8</v>
      </c>
      <c r="F671" s="15">
        <v>43705.666666666664</v>
      </c>
      <c r="G671" s="28">
        <v>96.753878333333333</v>
      </c>
      <c r="H671" s="15">
        <v>43889</v>
      </c>
      <c r="I671">
        <v>126.3586</v>
      </c>
      <c r="J671">
        <v>18954</v>
      </c>
      <c r="K671" s="28">
        <v>6.4208999999999996</v>
      </c>
    </row>
    <row r="672" spans="1:12" ht="15" customHeight="1" x14ac:dyDescent="0.2">
      <c r="A672" s="28" t="s">
        <v>11</v>
      </c>
      <c r="B672" s="2" t="s">
        <v>29</v>
      </c>
      <c r="C672" s="30">
        <v>0.5</v>
      </c>
      <c r="D672" s="28">
        <f>YEAR(TableauFlitrage[[#This Row],[Date_d_adjudication]])</f>
        <v>2019</v>
      </c>
      <c r="E672" s="28">
        <f t="shared" si="10"/>
        <v>9</v>
      </c>
      <c r="F672" s="15">
        <v>43712</v>
      </c>
      <c r="G672" s="28">
        <v>96.713888888888889</v>
      </c>
      <c r="H672" s="15">
        <v>43896</v>
      </c>
      <c r="I672">
        <v>99.679900000000004</v>
      </c>
      <c r="J672">
        <v>10935</v>
      </c>
      <c r="K672" s="28">
        <v>6.5</v>
      </c>
    </row>
    <row r="673" spans="1:12" ht="15" customHeight="1" x14ac:dyDescent="0.2">
      <c r="A673" s="28" t="s">
        <v>10</v>
      </c>
      <c r="B673" s="2" t="s">
        <v>29</v>
      </c>
      <c r="C673" s="30">
        <v>1</v>
      </c>
      <c r="D673" s="28">
        <f>YEAR(TableauFlitrage[[#This Row],[Date_d_adjudication]])</f>
        <v>2019</v>
      </c>
      <c r="E673" s="28">
        <f t="shared" si="10"/>
        <v>9</v>
      </c>
      <c r="F673" s="15">
        <v>43712</v>
      </c>
      <c r="G673" s="28">
        <v>92.922222222222217</v>
      </c>
      <c r="H673" s="15">
        <v>44078</v>
      </c>
      <c r="I673">
        <v>153.33000000000001</v>
      </c>
      <c r="J673">
        <v>15000</v>
      </c>
      <c r="K673" s="28">
        <v>7</v>
      </c>
    </row>
    <row r="674" spans="1:12" ht="15" customHeight="1" x14ac:dyDescent="0.2">
      <c r="A674" s="28" t="s">
        <v>7</v>
      </c>
      <c r="B674" s="2" t="s">
        <v>29</v>
      </c>
      <c r="C674" s="30">
        <v>0.25</v>
      </c>
      <c r="D674" s="28">
        <f>YEAR(TableauFlitrage[[#This Row],[Date_d_adjudication]])</f>
        <v>2019</v>
      </c>
      <c r="E674" s="28">
        <f t="shared" si="10"/>
        <v>9</v>
      </c>
      <c r="F674" s="15">
        <v>43712</v>
      </c>
      <c r="G674" s="28">
        <v>99.392069444444445</v>
      </c>
      <c r="H674" s="15">
        <v>43805</v>
      </c>
      <c r="I674">
        <v>165.5</v>
      </c>
      <c r="J674">
        <v>20000</v>
      </c>
      <c r="K674" s="28">
        <v>2.4049999999999998</v>
      </c>
    </row>
    <row r="675" spans="1:12" ht="15" customHeight="1" x14ac:dyDescent="0.2">
      <c r="A675" s="28" t="s">
        <v>9</v>
      </c>
      <c r="B675" s="2" t="s">
        <v>29</v>
      </c>
      <c r="C675" s="30">
        <v>0.25</v>
      </c>
      <c r="D675" s="28">
        <f>YEAR(TableauFlitrage[[#This Row],[Date_d_adjudication]])</f>
        <v>2019</v>
      </c>
      <c r="E675" s="28">
        <f t="shared" si="10"/>
        <v>9</v>
      </c>
      <c r="F675" s="15">
        <v>43712</v>
      </c>
      <c r="G675" s="28">
        <v>99.005319444444439</v>
      </c>
      <c r="H675" s="15">
        <v>43805</v>
      </c>
      <c r="I675">
        <v>160</v>
      </c>
      <c r="J675">
        <v>15000</v>
      </c>
      <c r="K675" s="28">
        <v>3.9350000000000001</v>
      </c>
    </row>
    <row r="676" spans="1:12" ht="15" customHeight="1" x14ac:dyDescent="0.2">
      <c r="A676" s="28" t="s">
        <v>11</v>
      </c>
      <c r="B676" s="2" t="s">
        <v>29</v>
      </c>
      <c r="C676" s="30">
        <v>0.5</v>
      </c>
      <c r="D676" s="28">
        <f>YEAR(TableauFlitrage[[#This Row],[Date_d_adjudication]])</f>
        <v>2019</v>
      </c>
      <c r="E676" s="28">
        <f t="shared" si="10"/>
        <v>9</v>
      </c>
      <c r="F676" s="15">
        <v>43712</v>
      </c>
      <c r="G676" s="28">
        <v>96.966666666666669</v>
      </c>
      <c r="H676" s="15">
        <v>43896</v>
      </c>
      <c r="I676">
        <v>100</v>
      </c>
      <c r="J676">
        <v>4500</v>
      </c>
      <c r="K676" s="28">
        <v>6</v>
      </c>
    </row>
    <row r="677" spans="1:12" ht="15" customHeight="1" x14ac:dyDescent="0.2">
      <c r="A677" s="28" t="s">
        <v>8</v>
      </c>
      <c r="B677" t="s">
        <v>30</v>
      </c>
      <c r="C677" s="30" t="s">
        <v>53</v>
      </c>
      <c r="D677" s="28">
        <f>YEAR(TableauFlitrage[[#This Row],[Date_d_adjudication]])</f>
        <v>2019</v>
      </c>
      <c r="E677" s="28">
        <f t="shared" si="10"/>
        <v>9</v>
      </c>
      <c r="F677" s="15">
        <v>43712</v>
      </c>
      <c r="G677" s="28">
        <v>90.416700000000006</v>
      </c>
      <c r="H677" s="15">
        <v>44445</v>
      </c>
      <c r="I677">
        <v>136</v>
      </c>
      <c r="J677">
        <v>25000</v>
      </c>
      <c r="K677" s="28">
        <v>6.5</v>
      </c>
      <c r="L677">
        <v>7.2004575619132991</v>
      </c>
    </row>
    <row r="678" spans="1:12" ht="15" customHeight="1" x14ac:dyDescent="0.2">
      <c r="A678" s="28" t="s">
        <v>9</v>
      </c>
      <c r="B678" t="s">
        <v>30</v>
      </c>
      <c r="C678" s="30" t="s">
        <v>55</v>
      </c>
      <c r="D678" s="28">
        <f>YEAR(TableauFlitrage[[#This Row],[Date_d_adjudication]])</f>
        <v>2019</v>
      </c>
      <c r="E678" s="28">
        <f t="shared" si="10"/>
        <v>9</v>
      </c>
      <c r="F678" s="15">
        <v>43712</v>
      </c>
      <c r="G678" s="28">
        <v>99.674700000000001</v>
      </c>
      <c r="H678" s="15">
        <v>45141</v>
      </c>
      <c r="I678">
        <v>91.111099999999993</v>
      </c>
      <c r="J678">
        <v>22500</v>
      </c>
      <c r="K678" s="28">
        <v>7</v>
      </c>
      <c r="L678">
        <v>7.022850849325077</v>
      </c>
    </row>
    <row r="679" spans="1:12" ht="15" customHeight="1" x14ac:dyDescent="0.2">
      <c r="A679" s="28" t="s">
        <v>9</v>
      </c>
      <c r="B679" t="s">
        <v>30</v>
      </c>
      <c r="C679" s="30" t="s">
        <v>53</v>
      </c>
      <c r="D679" s="28">
        <f>YEAR(TableauFlitrage[[#This Row],[Date_d_adjudication]])</f>
        <v>2019</v>
      </c>
      <c r="E679" s="28">
        <f t="shared" si="10"/>
        <v>9</v>
      </c>
      <c r="F679" s="15">
        <v>43712</v>
      </c>
      <c r="G679" s="28">
        <v>98.181700000000006</v>
      </c>
      <c r="H679" s="15">
        <v>44431</v>
      </c>
      <c r="I679">
        <v>25</v>
      </c>
      <c r="J679">
        <v>10000</v>
      </c>
      <c r="K679" s="28">
        <v>4.75</v>
      </c>
      <c r="L679">
        <v>4.8406760838349188</v>
      </c>
    </row>
    <row r="680" spans="1:12" ht="15" customHeight="1" x14ac:dyDescent="0.2">
      <c r="A680" s="28" t="s">
        <v>9</v>
      </c>
      <c r="B680" s="2" t="s">
        <v>29</v>
      </c>
      <c r="C680" s="30">
        <v>0.25</v>
      </c>
      <c r="D680" s="28">
        <f>YEAR(TableauFlitrage[[#This Row],[Date_d_adjudication]])</f>
        <v>2019</v>
      </c>
      <c r="E680" s="28">
        <f t="shared" si="10"/>
        <v>9</v>
      </c>
      <c r="F680" s="15">
        <v>43719</v>
      </c>
      <c r="G680" s="28">
        <v>98.991239722222218</v>
      </c>
      <c r="H680" s="15">
        <v>43812</v>
      </c>
      <c r="I680">
        <v>148</v>
      </c>
      <c r="J680">
        <v>15000</v>
      </c>
      <c r="K680" s="28">
        <v>3.9906999999999999</v>
      </c>
    </row>
    <row r="681" spans="1:12" ht="15" customHeight="1" x14ac:dyDescent="0.2">
      <c r="A681" s="28" t="s">
        <v>11</v>
      </c>
      <c r="B681" s="2" t="s">
        <v>29</v>
      </c>
      <c r="C681" s="30">
        <v>0.5</v>
      </c>
      <c r="D681" s="28">
        <f>YEAR(TableauFlitrage[[#This Row],[Date_d_adjudication]])</f>
        <v>2019</v>
      </c>
      <c r="E681" s="28">
        <f t="shared" si="10"/>
        <v>9</v>
      </c>
      <c r="F681" s="15">
        <v>43719</v>
      </c>
      <c r="G681" s="28">
        <v>96.732392222222217</v>
      </c>
      <c r="H681" s="15">
        <v>43903</v>
      </c>
      <c r="I681">
        <v>104.3036</v>
      </c>
      <c r="J681">
        <v>32066</v>
      </c>
      <c r="K681" s="28">
        <v>6.4634</v>
      </c>
    </row>
    <row r="682" spans="1:12" ht="15" customHeight="1" x14ac:dyDescent="0.2">
      <c r="A682" s="28" t="s">
        <v>8</v>
      </c>
      <c r="B682" t="s">
        <v>30</v>
      </c>
      <c r="C682" s="30" t="s">
        <v>53</v>
      </c>
      <c r="D682" s="28">
        <f>YEAR(TableauFlitrage[[#This Row],[Date_d_adjudication]])</f>
        <v>2019</v>
      </c>
      <c r="E682" s="28">
        <f t="shared" si="10"/>
        <v>9</v>
      </c>
      <c r="F682" s="15">
        <v>43719</v>
      </c>
      <c r="G682" s="28">
        <v>89.33</v>
      </c>
      <c r="H682" s="15">
        <v>44452</v>
      </c>
      <c r="I682">
        <v>100</v>
      </c>
      <c r="J682">
        <v>15000</v>
      </c>
      <c r="K682" s="28">
        <v>6.5</v>
      </c>
      <c r="L682">
        <v>7.2892492963358997</v>
      </c>
    </row>
    <row r="683" spans="1:12" ht="15" customHeight="1" x14ac:dyDescent="0.2">
      <c r="A683" s="28" t="s">
        <v>9</v>
      </c>
      <c r="B683" s="2" t="s">
        <v>29</v>
      </c>
      <c r="C683" s="30">
        <v>1</v>
      </c>
      <c r="D683" s="28">
        <f>YEAR(TableauFlitrage[[#This Row],[Date_d_adjudication]])</f>
        <v>2019</v>
      </c>
      <c r="E683" s="28">
        <f t="shared" si="10"/>
        <v>9</v>
      </c>
      <c r="F683" s="15">
        <v>43726</v>
      </c>
      <c r="G683" s="28">
        <v>95.681139999999999</v>
      </c>
      <c r="H683" s="15">
        <v>44092</v>
      </c>
      <c r="I683">
        <v>92</v>
      </c>
      <c r="J683">
        <v>15000</v>
      </c>
      <c r="K683" s="28">
        <v>4.2713999999999999</v>
      </c>
    </row>
    <row r="684" spans="1:12" ht="15" customHeight="1" x14ac:dyDescent="0.2">
      <c r="A684" s="28" t="s">
        <v>7</v>
      </c>
      <c r="B684" s="2" t="s">
        <v>29</v>
      </c>
      <c r="C684" s="30">
        <v>0.5</v>
      </c>
      <c r="D684" s="28">
        <f>YEAR(TableauFlitrage[[#This Row],[Date_d_adjudication]])</f>
        <v>2019</v>
      </c>
      <c r="E684" s="28">
        <f t="shared" si="10"/>
        <v>9</v>
      </c>
      <c r="F684" s="15">
        <v>43726</v>
      </c>
      <c r="G684" s="28">
        <v>98.865533333333332</v>
      </c>
      <c r="H684" s="15">
        <v>43910</v>
      </c>
      <c r="I684">
        <v>271.8</v>
      </c>
      <c r="J684">
        <v>10000</v>
      </c>
      <c r="K684" s="28">
        <v>2.2440000000000002</v>
      </c>
    </row>
    <row r="685" spans="1:12" ht="15" customHeight="1" x14ac:dyDescent="0.2">
      <c r="A685" s="28" t="s">
        <v>11</v>
      </c>
      <c r="B685" s="2" t="s">
        <v>29</v>
      </c>
      <c r="C685" s="30">
        <v>0.5</v>
      </c>
      <c r="D685" s="28">
        <f>YEAR(TableauFlitrage[[#This Row],[Date_d_adjudication]])</f>
        <v>2019</v>
      </c>
      <c r="E685" s="28">
        <f t="shared" si="10"/>
        <v>9</v>
      </c>
      <c r="F685" s="15">
        <v>43733</v>
      </c>
      <c r="G685" s="28">
        <v>96.713888888888889</v>
      </c>
      <c r="H685" s="15">
        <v>43917</v>
      </c>
      <c r="I685">
        <v>52.28</v>
      </c>
      <c r="J685">
        <v>3443</v>
      </c>
      <c r="K685" s="28">
        <v>6.5</v>
      </c>
    </row>
    <row r="686" spans="1:12" ht="15" customHeight="1" x14ac:dyDescent="0.2">
      <c r="A686" s="28" t="s">
        <v>7</v>
      </c>
      <c r="B686" s="2" t="s">
        <v>29</v>
      </c>
      <c r="C686" s="30">
        <v>0.5</v>
      </c>
      <c r="D686" s="28">
        <f>YEAR(TableauFlitrage[[#This Row],[Date_d_adjudication]])</f>
        <v>2019</v>
      </c>
      <c r="E686" s="28">
        <f t="shared" si="10"/>
        <v>9</v>
      </c>
      <c r="F686" s="15">
        <v>43733</v>
      </c>
      <c r="G686" s="28">
        <v>98.758709444444449</v>
      </c>
      <c r="H686" s="15">
        <v>43917</v>
      </c>
      <c r="I686">
        <v>105.05</v>
      </c>
      <c r="J686">
        <v>20000</v>
      </c>
      <c r="K686" s="28">
        <v>2.4552999999999998</v>
      </c>
    </row>
    <row r="687" spans="1:12" ht="15" customHeight="1" x14ac:dyDescent="0.2">
      <c r="A687" s="28" t="s">
        <v>10</v>
      </c>
      <c r="B687" s="2" t="s">
        <v>29</v>
      </c>
      <c r="C687" s="30">
        <v>1</v>
      </c>
      <c r="D687" s="28">
        <f>YEAR(TableauFlitrage[[#This Row],[Date_d_adjudication]])</f>
        <v>2019</v>
      </c>
      <c r="E687" s="28">
        <f t="shared" si="10"/>
        <v>9</v>
      </c>
      <c r="F687" s="15">
        <v>43733</v>
      </c>
      <c r="G687" s="28">
        <v>93.688947777777784</v>
      </c>
      <c r="H687" s="15">
        <v>44099</v>
      </c>
      <c r="I687">
        <v>186.66669999999999</v>
      </c>
      <c r="J687">
        <v>15000</v>
      </c>
      <c r="K687" s="28">
        <v>6.2416999999999998</v>
      </c>
    </row>
    <row r="688" spans="1:12" ht="15" customHeight="1" x14ac:dyDescent="0.2">
      <c r="A688" s="28" t="s">
        <v>14</v>
      </c>
      <c r="B688" s="2" t="s">
        <v>29</v>
      </c>
      <c r="C688" s="30">
        <v>0.5</v>
      </c>
      <c r="D688" s="28">
        <f>YEAR(TableauFlitrage[[#This Row],[Date_d_adjudication]])</f>
        <v>2019</v>
      </c>
      <c r="E688" s="28">
        <f t="shared" si="10"/>
        <v>10</v>
      </c>
      <c r="F688" s="15">
        <v>43740</v>
      </c>
      <c r="G688" s="28">
        <v>97.311354444444447</v>
      </c>
      <c r="H688" s="15">
        <v>43924</v>
      </c>
      <c r="I688">
        <v>100</v>
      </c>
      <c r="J688">
        <v>5500</v>
      </c>
      <c r="K688" s="28">
        <v>5.3182</v>
      </c>
    </row>
    <row r="689" spans="1:12" ht="15" customHeight="1" x14ac:dyDescent="0.2">
      <c r="A689" s="28" t="s">
        <v>8</v>
      </c>
      <c r="B689" s="2" t="s">
        <v>29</v>
      </c>
      <c r="C689" s="30">
        <v>0.5</v>
      </c>
      <c r="D689" s="28">
        <f>YEAR(TableauFlitrage[[#This Row],[Date_d_adjudication]])</f>
        <v>2019</v>
      </c>
      <c r="E689" s="28">
        <f t="shared" si="10"/>
        <v>10</v>
      </c>
      <c r="F689" s="15">
        <v>43740</v>
      </c>
      <c r="G689" s="28">
        <v>96.850388888888887</v>
      </c>
      <c r="H689" s="15">
        <v>43924</v>
      </c>
      <c r="I689">
        <v>291.01</v>
      </c>
      <c r="J689">
        <v>10000</v>
      </c>
      <c r="K689" s="28">
        <v>6.23</v>
      </c>
    </row>
    <row r="690" spans="1:12" ht="15" customHeight="1" x14ac:dyDescent="0.2">
      <c r="A690" s="28" t="s">
        <v>9</v>
      </c>
      <c r="B690" s="2" t="s">
        <v>29</v>
      </c>
      <c r="C690" s="30">
        <v>0.5</v>
      </c>
      <c r="D690" s="28">
        <f>YEAR(TableauFlitrage[[#This Row],[Date_d_adjudication]])</f>
        <v>2019</v>
      </c>
      <c r="E690" s="28">
        <f t="shared" si="10"/>
        <v>10</v>
      </c>
      <c r="F690" s="15">
        <v>43740</v>
      </c>
      <c r="G690" s="28">
        <v>98.204772222222218</v>
      </c>
      <c r="H690" s="15">
        <v>43924</v>
      </c>
      <c r="I690">
        <v>130.80000000000001</v>
      </c>
      <c r="J690">
        <v>12500</v>
      </c>
      <c r="K690" s="28">
        <v>3.5510000000000002</v>
      </c>
    </row>
    <row r="691" spans="1:12" ht="15" customHeight="1" x14ac:dyDescent="0.2">
      <c r="A691" s="28" t="s">
        <v>7</v>
      </c>
      <c r="B691" s="2" t="s">
        <v>29</v>
      </c>
      <c r="C691" s="30">
        <v>0.5</v>
      </c>
      <c r="D691" s="28">
        <f>YEAR(TableauFlitrage[[#This Row],[Date_d_adjudication]])</f>
        <v>2019</v>
      </c>
      <c r="E691" s="28">
        <f t="shared" si="10"/>
        <v>10</v>
      </c>
      <c r="F691" s="15">
        <v>43747</v>
      </c>
      <c r="G691" s="28">
        <v>98.668467777777778</v>
      </c>
      <c r="H691" s="15">
        <v>43931</v>
      </c>
      <c r="I691">
        <v>120</v>
      </c>
      <c r="J691">
        <v>20000</v>
      </c>
      <c r="K691" s="28">
        <v>2.6337999999999999</v>
      </c>
    </row>
    <row r="692" spans="1:12" ht="15" customHeight="1" x14ac:dyDescent="0.2">
      <c r="A692" s="28" t="s">
        <v>9</v>
      </c>
      <c r="B692" s="2" t="s">
        <v>29</v>
      </c>
      <c r="C692" s="30">
        <v>0.25</v>
      </c>
      <c r="D692" s="28">
        <f>YEAR(TableauFlitrage[[#This Row],[Date_d_adjudication]])</f>
        <v>2019</v>
      </c>
      <c r="E692" s="28">
        <f t="shared" si="10"/>
        <v>10</v>
      </c>
      <c r="F692" s="15">
        <v>43747</v>
      </c>
      <c r="G692" s="28">
        <v>99.033959166666662</v>
      </c>
      <c r="H692" s="15">
        <v>43840</v>
      </c>
      <c r="I692">
        <v>124</v>
      </c>
      <c r="J692">
        <v>15000</v>
      </c>
      <c r="K692" s="28">
        <v>3.8216999999999999</v>
      </c>
    </row>
    <row r="693" spans="1:12" ht="15" customHeight="1" x14ac:dyDescent="0.2">
      <c r="A693" s="28" t="s">
        <v>10</v>
      </c>
      <c r="B693" s="2" t="s">
        <v>29</v>
      </c>
      <c r="C693" s="30">
        <v>1</v>
      </c>
      <c r="D693" s="28">
        <f>YEAR(TableauFlitrage[[#This Row],[Date_d_adjudication]])</f>
        <v>2019</v>
      </c>
      <c r="E693" s="28">
        <f t="shared" si="10"/>
        <v>10</v>
      </c>
      <c r="F693" s="15">
        <v>43747</v>
      </c>
      <c r="G693" s="28">
        <v>93.678836666666669</v>
      </c>
      <c r="H693" s="15">
        <v>44113</v>
      </c>
      <c r="I693">
        <v>140</v>
      </c>
      <c r="J693">
        <v>15000</v>
      </c>
      <c r="K693" s="28">
        <v>6.2516999999999996</v>
      </c>
    </row>
    <row r="694" spans="1:12" ht="15" customHeight="1" x14ac:dyDescent="0.2">
      <c r="A694" s="28" t="s">
        <v>9</v>
      </c>
      <c r="B694" s="2" t="s">
        <v>29</v>
      </c>
      <c r="C694" s="30">
        <v>0.5</v>
      </c>
      <c r="D694" s="28">
        <f>YEAR(TableauFlitrage[[#This Row],[Date_d_adjudication]])</f>
        <v>2019</v>
      </c>
      <c r="E694" s="28">
        <f t="shared" si="10"/>
        <v>10</v>
      </c>
      <c r="F694" s="15">
        <v>43754</v>
      </c>
      <c r="G694" s="28">
        <v>97.890164999999996</v>
      </c>
      <c r="H694" s="15">
        <v>43938</v>
      </c>
      <c r="I694">
        <v>133.33330000000001</v>
      </c>
      <c r="J694">
        <v>15000</v>
      </c>
      <c r="K694" s="28">
        <v>4.1733000000000002</v>
      </c>
    </row>
    <row r="695" spans="1:12" ht="15" customHeight="1" x14ac:dyDescent="0.2">
      <c r="A695" s="28" t="s">
        <v>10</v>
      </c>
      <c r="B695" s="2" t="s">
        <v>29</v>
      </c>
      <c r="C695" s="30">
        <v>1</v>
      </c>
      <c r="D695" s="28">
        <f>YEAR(TableauFlitrage[[#This Row],[Date_d_adjudication]])</f>
        <v>2019</v>
      </c>
      <c r="E695" s="28">
        <f t="shared" si="10"/>
        <v>10</v>
      </c>
      <c r="F695" s="15">
        <v>43754</v>
      </c>
      <c r="G695" s="28">
        <v>93.348304444444437</v>
      </c>
      <c r="H695" s="15">
        <v>44120</v>
      </c>
      <c r="I695">
        <v>67.540000000000006</v>
      </c>
      <c r="J695">
        <v>15000</v>
      </c>
      <c r="K695" s="28">
        <v>6.5785999999999998</v>
      </c>
    </row>
    <row r="696" spans="1:12" ht="15" customHeight="1" x14ac:dyDescent="0.2">
      <c r="A696" s="28" t="s">
        <v>11</v>
      </c>
      <c r="B696" s="2" t="s">
        <v>29</v>
      </c>
      <c r="C696" s="30">
        <v>0.5</v>
      </c>
      <c r="D696" s="28">
        <f>YEAR(TableauFlitrage[[#This Row],[Date_d_adjudication]])</f>
        <v>2019</v>
      </c>
      <c r="E696" s="28">
        <f t="shared" si="10"/>
        <v>10</v>
      </c>
      <c r="F696" s="15">
        <v>43754</v>
      </c>
      <c r="G696" s="28">
        <v>96.868690000000001</v>
      </c>
      <c r="H696" s="15">
        <v>43938</v>
      </c>
      <c r="I696">
        <v>6.1938000000000004</v>
      </c>
      <c r="J696">
        <v>11120</v>
      </c>
      <c r="K696" s="28">
        <v>6.1938000000000004</v>
      </c>
    </row>
    <row r="697" spans="1:12" ht="15" customHeight="1" x14ac:dyDescent="0.2">
      <c r="A697" s="28" t="s">
        <v>9</v>
      </c>
      <c r="B697" s="2" t="s">
        <v>29</v>
      </c>
      <c r="C697" s="30">
        <v>0.25</v>
      </c>
      <c r="D697" s="28">
        <f>YEAR(TableauFlitrage[[#This Row],[Date_d_adjudication]])</f>
        <v>2019</v>
      </c>
      <c r="E697" s="28">
        <f t="shared" si="10"/>
        <v>10</v>
      </c>
      <c r="F697" s="15">
        <v>43761</v>
      </c>
      <c r="G697" s="28">
        <v>99.028322222222215</v>
      </c>
      <c r="H697" s="15">
        <v>43854</v>
      </c>
      <c r="I697">
        <v>82.666700000000006</v>
      </c>
      <c r="J697">
        <v>15000</v>
      </c>
      <c r="K697" s="28">
        <v>3.8439999999999999</v>
      </c>
    </row>
    <row r="698" spans="1:12" ht="15" customHeight="1" x14ac:dyDescent="0.2">
      <c r="A698" s="28" t="s">
        <v>7</v>
      </c>
      <c r="B698" t="s">
        <v>30</v>
      </c>
      <c r="C698" s="30" t="s">
        <v>53</v>
      </c>
      <c r="D698" s="28">
        <f>YEAR(TableauFlitrage[[#This Row],[Date_d_adjudication]])</f>
        <v>2019</v>
      </c>
      <c r="E698" s="28">
        <f t="shared" si="10"/>
        <v>10</v>
      </c>
      <c r="F698" s="15">
        <v>43761</v>
      </c>
      <c r="G698" s="28">
        <v>98.706100000000006</v>
      </c>
      <c r="H698" s="15">
        <v>44494</v>
      </c>
      <c r="I698">
        <v>55.274999999999999</v>
      </c>
      <c r="J698">
        <v>40000</v>
      </c>
      <c r="K698" s="28">
        <v>3.4</v>
      </c>
      <c r="L698">
        <v>3.4469758672910236</v>
      </c>
    </row>
    <row r="699" spans="1:12" ht="15" customHeight="1" x14ac:dyDescent="0.2">
      <c r="A699" s="28" t="s">
        <v>9</v>
      </c>
      <c r="B699" t="s">
        <v>30</v>
      </c>
      <c r="C699" s="30" t="s">
        <v>55</v>
      </c>
      <c r="D699" s="28">
        <f>YEAR(TableauFlitrage[[#This Row],[Date_d_adjudication]])</f>
        <v>2019</v>
      </c>
      <c r="E699" s="28">
        <f t="shared" si="10"/>
        <v>10</v>
      </c>
      <c r="F699" s="15">
        <v>43761</v>
      </c>
      <c r="G699" s="28">
        <v>91.587400000000002</v>
      </c>
      <c r="H699" s="15">
        <v>45141</v>
      </c>
      <c r="I699">
        <v>96</v>
      </c>
      <c r="J699">
        <v>12500</v>
      </c>
      <c r="K699" s="28">
        <v>7</v>
      </c>
      <c r="L699">
        <v>9.58</v>
      </c>
    </row>
    <row r="700" spans="1:12" ht="15" customHeight="1" x14ac:dyDescent="0.2">
      <c r="A700" s="28" t="s">
        <v>9</v>
      </c>
      <c r="B700" t="s">
        <v>30</v>
      </c>
      <c r="C700" s="30" t="s">
        <v>54</v>
      </c>
      <c r="D700" s="28">
        <f>YEAR(TableauFlitrage[[#This Row],[Date_d_adjudication]])</f>
        <v>2019</v>
      </c>
      <c r="E700" s="28">
        <f t="shared" si="10"/>
        <v>10</v>
      </c>
      <c r="F700" s="15">
        <v>43761</v>
      </c>
      <c r="G700" s="28">
        <v>91.869799999999998</v>
      </c>
      <c r="H700" s="15">
        <v>44859</v>
      </c>
      <c r="I700">
        <v>89.849000000000004</v>
      </c>
      <c r="J700">
        <v>12500</v>
      </c>
      <c r="K700" s="28">
        <v>5</v>
      </c>
      <c r="L700">
        <v>8.11</v>
      </c>
    </row>
    <row r="701" spans="1:12" ht="15" customHeight="1" x14ac:dyDescent="0.2">
      <c r="A701" s="28" t="s">
        <v>9</v>
      </c>
      <c r="B701" s="2" t="s">
        <v>29</v>
      </c>
      <c r="C701" s="30">
        <v>0.25</v>
      </c>
      <c r="D701" s="28">
        <f>YEAR(TableauFlitrage[[#This Row],[Date_d_adjudication]])</f>
        <v>2019</v>
      </c>
      <c r="E701" s="28">
        <f t="shared" ref="E701:E757" si="11">MONTH(F701)</f>
        <v>10</v>
      </c>
      <c r="F701" s="15">
        <v>43768</v>
      </c>
      <c r="G701" s="28">
        <v>99.054613638888895</v>
      </c>
      <c r="H701" s="15">
        <v>43861</v>
      </c>
      <c r="I701">
        <v>67.666700000000006</v>
      </c>
      <c r="J701">
        <v>15000</v>
      </c>
      <c r="K701" s="28">
        <v>3.7399900000000001</v>
      </c>
    </row>
    <row r="702" spans="1:12" ht="15" customHeight="1" x14ac:dyDescent="0.2">
      <c r="A702" s="28" t="s">
        <v>8</v>
      </c>
      <c r="B702" s="2" t="s">
        <v>29</v>
      </c>
      <c r="C702" s="30">
        <v>1</v>
      </c>
      <c r="D702" s="28">
        <f>YEAR(TableauFlitrage[[#This Row],[Date_d_adjudication]])</f>
        <v>2019</v>
      </c>
      <c r="E702" s="28">
        <f t="shared" si="11"/>
        <v>10</v>
      </c>
      <c r="F702" s="15">
        <v>43768</v>
      </c>
      <c r="G702" s="28">
        <v>93.900977777777783</v>
      </c>
      <c r="H702" s="15">
        <v>44134</v>
      </c>
      <c r="I702">
        <v>250.5</v>
      </c>
      <c r="J702">
        <v>20000</v>
      </c>
      <c r="K702" s="28">
        <v>6.032</v>
      </c>
    </row>
    <row r="703" spans="1:12" ht="15" customHeight="1" x14ac:dyDescent="0.2">
      <c r="A703" s="28" t="s">
        <v>9</v>
      </c>
      <c r="B703" s="2" t="s">
        <v>29</v>
      </c>
      <c r="C703" s="30">
        <v>0.25</v>
      </c>
      <c r="D703" s="28">
        <f>YEAR(TableauFlitrage[[#This Row],[Date_d_adjudication]])</f>
        <v>2019</v>
      </c>
      <c r="E703" s="28">
        <f t="shared" si="11"/>
        <v>11</v>
      </c>
      <c r="F703" s="15">
        <v>43775.583333333336</v>
      </c>
      <c r="G703" s="28">
        <v>99.042721</v>
      </c>
      <c r="H703" s="15">
        <v>43868</v>
      </c>
      <c r="I703">
        <v>93.103400000000008</v>
      </c>
      <c r="J703">
        <v>14500</v>
      </c>
      <c r="K703" s="28">
        <v>3.7869999999999999</v>
      </c>
    </row>
    <row r="704" spans="1:12" ht="15" customHeight="1" x14ac:dyDescent="0.2">
      <c r="A704" s="28" t="s">
        <v>7</v>
      </c>
      <c r="B704" s="2" t="s">
        <v>29</v>
      </c>
      <c r="C704" s="30">
        <v>0.5</v>
      </c>
      <c r="D704" s="28">
        <f>YEAR(TableauFlitrage[[#This Row],[Date_d_adjudication]])</f>
        <v>2019</v>
      </c>
      <c r="E704" s="28">
        <f t="shared" si="11"/>
        <v>11</v>
      </c>
      <c r="F704" s="15">
        <v>43775.583333333336</v>
      </c>
      <c r="G704" s="28">
        <v>98.669757000000004</v>
      </c>
      <c r="H704" s="15">
        <v>43959</v>
      </c>
      <c r="I704">
        <v>114.99999999999999</v>
      </c>
      <c r="J704">
        <v>20000</v>
      </c>
      <c r="K704" s="28">
        <v>2.6313</v>
      </c>
    </row>
    <row r="705" spans="1:11" ht="15" customHeight="1" x14ac:dyDescent="0.2">
      <c r="A705" s="28" t="s">
        <v>8</v>
      </c>
      <c r="B705" s="2" t="s">
        <v>29</v>
      </c>
      <c r="C705" s="30">
        <v>1</v>
      </c>
      <c r="D705" s="28">
        <f>YEAR(TableauFlitrage[[#This Row],[Date_d_adjudication]])</f>
        <v>2019</v>
      </c>
      <c r="E705" s="28">
        <f t="shared" si="11"/>
        <v>11</v>
      </c>
      <c r="F705" s="15">
        <v>43775.666666666664</v>
      </c>
      <c r="G705" s="28">
        <v>93.385244400000005</v>
      </c>
      <c r="H705" s="15">
        <v>44141</v>
      </c>
      <c r="I705">
        <v>165</v>
      </c>
      <c r="J705">
        <v>20000</v>
      </c>
      <c r="K705" s="28">
        <v>6.08</v>
      </c>
    </row>
    <row r="706" spans="1:11" ht="15" customHeight="1" x14ac:dyDescent="0.2">
      <c r="A706" s="28" t="s">
        <v>7</v>
      </c>
      <c r="B706" s="2" t="s">
        <v>29</v>
      </c>
      <c r="C706" s="30">
        <v>0.5</v>
      </c>
      <c r="D706" s="28">
        <f>YEAR(TableauFlitrage[[#This Row],[Date_d_adjudication]])</f>
        <v>2019</v>
      </c>
      <c r="E706" s="28">
        <f t="shared" si="11"/>
        <v>11</v>
      </c>
      <c r="F706" s="15">
        <v>43782.583333333336</v>
      </c>
      <c r="G706" s="28">
        <v>98.626469</v>
      </c>
      <c r="H706" s="15">
        <v>43966</v>
      </c>
      <c r="I706">
        <v>150</v>
      </c>
      <c r="J706">
        <v>20000</v>
      </c>
      <c r="K706" s="28">
        <v>2.7168999999999999</v>
      </c>
    </row>
    <row r="707" spans="1:11" ht="15" customHeight="1" x14ac:dyDescent="0.2">
      <c r="A707" s="28" t="s">
        <v>11</v>
      </c>
      <c r="B707" s="2" t="s">
        <v>29</v>
      </c>
      <c r="C707" s="30">
        <v>0.5</v>
      </c>
      <c r="D707" s="28">
        <f>YEAR(TableauFlitrage[[#This Row],[Date_d_adjudication]])</f>
        <v>2019</v>
      </c>
      <c r="E707" s="28">
        <f t="shared" si="11"/>
        <v>11</v>
      </c>
      <c r="F707" s="15">
        <v>43782.666666666664</v>
      </c>
      <c r="G707" s="28">
        <v>96.794056999999995</v>
      </c>
      <c r="H707" s="15">
        <v>43966</v>
      </c>
      <c r="I707">
        <v>119.94510000000001</v>
      </c>
      <c r="J707">
        <v>18225</v>
      </c>
      <c r="K707" s="28">
        <v>6.3414000000000001</v>
      </c>
    </row>
    <row r="708" spans="1:11" ht="15" customHeight="1" x14ac:dyDescent="0.2">
      <c r="A708" s="28" t="s">
        <v>9</v>
      </c>
      <c r="B708" s="2" t="s">
        <v>29</v>
      </c>
      <c r="C708" s="30">
        <v>0.25</v>
      </c>
      <c r="D708" s="28">
        <f>YEAR(TableauFlitrage[[#This Row],[Date_d_adjudication]])</f>
        <v>2019</v>
      </c>
      <c r="E708" s="28">
        <f t="shared" si="11"/>
        <v>11</v>
      </c>
      <c r="F708" s="15">
        <v>43789.541666666664</v>
      </c>
      <c r="G708" s="28">
        <v>98.961842000000004</v>
      </c>
      <c r="H708" s="15">
        <v>43882</v>
      </c>
      <c r="I708">
        <v>104.66670000000001</v>
      </c>
      <c r="J708">
        <v>15000</v>
      </c>
      <c r="K708" s="28">
        <v>4.1070000000000002</v>
      </c>
    </row>
    <row r="709" spans="1:11" ht="15" customHeight="1" x14ac:dyDescent="0.2">
      <c r="A709" s="28" t="s">
        <v>11</v>
      </c>
      <c r="B709" s="2" t="s">
        <v>29</v>
      </c>
      <c r="C709" s="30">
        <v>0.5</v>
      </c>
      <c r="D709" s="28">
        <f>YEAR(TableauFlitrage[[#This Row],[Date_d_adjudication]])</f>
        <v>2019</v>
      </c>
      <c r="E709" s="28">
        <f t="shared" si="11"/>
        <v>11</v>
      </c>
      <c r="F709" s="15">
        <v>43789.666666666664</v>
      </c>
      <c r="G709" s="28">
        <v>96.743313000000001</v>
      </c>
      <c r="H709" s="15">
        <v>43973</v>
      </c>
      <c r="I709">
        <v>99.331299999999999</v>
      </c>
      <c r="J709">
        <v>16000</v>
      </c>
      <c r="K709" s="28">
        <v>6.4417999999999997</v>
      </c>
    </row>
    <row r="710" spans="1:11" ht="15" customHeight="1" x14ac:dyDescent="0.2">
      <c r="A710" s="28" t="s">
        <v>9</v>
      </c>
      <c r="B710" s="2" t="s">
        <v>29</v>
      </c>
      <c r="C710" s="30">
        <v>0.5</v>
      </c>
      <c r="D710" s="28">
        <f>YEAR(TableauFlitrage[[#This Row],[Date_d_adjudication]])</f>
        <v>2019</v>
      </c>
      <c r="E710" s="28">
        <f t="shared" si="11"/>
        <v>11</v>
      </c>
      <c r="F710" s="15">
        <v>43796</v>
      </c>
      <c r="G710" s="28">
        <v>97.887997999999996</v>
      </c>
      <c r="H710" s="15">
        <v>43966</v>
      </c>
      <c r="I710">
        <v>179.31029999999998</v>
      </c>
      <c r="J710">
        <v>14500</v>
      </c>
      <c r="K710" s="28">
        <v>4.1776</v>
      </c>
    </row>
    <row r="711" spans="1:11" ht="15" customHeight="1" x14ac:dyDescent="0.2">
      <c r="A711" s="28" t="s">
        <v>9</v>
      </c>
      <c r="B711" s="2" t="s">
        <v>29</v>
      </c>
      <c r="C711" s="30">
        <v>0.25</v>
      </c>
      <c r="D711" s="28">
        <f>YEAR(TableauFlitrage[[#This Row],[Date_d_adjudication]])</f>
        <v>2019</v>
      </c>
      <c r="E711" s="28">
        <f t="shared" si="11"/>
        <v>11</v>
      </c>
      <c r="F711" s="15">
        <v>43796.666666666664</v>
      </c>
      <c r="G711" s="28">
        <v>99.001317</v>
      </c>
      <c r="H711" s="15">
        <v>43889</v>
      </c>
      <c r="I711">
        <v>114.5</v>
      </c>
      <c r="J711">
        <v>15000</v>
      </c>
      <c r="K711" s="28">
        <v>3.9508000000000001</v>
      </c>
    </row>
    <row r="712" spans="1:11" ht="15" customHeight="1" x14ac:dyDescent="0.2">
      <c r="A712" s="28" t="s">
        <v>14</v>
      </c>
      <c r="B712" s="2" t="s">
        <v>29</v>
      </c>
      <c r="C712" s="30">
        <v>0.5</v>
      </c>
      <c r="D712" s="28">
        <f>YEAR(TableauFlitrage[[#This Row],[Date_d_adjudication]])</f>
        <v>2019</v>
      </c>
      <c r="E712" s="28">
        <f t="shared" si="11"/>
        <v>11</v>
      </c>
      <c r="F712" s="15">
        <v>43796.708333333336</v>
      </c>
      <c r="G712" s="28">
        <v>97.409028000000006</v>
      </c>
      <c r="H712" s="15">
        <v>43980</v>
      </c>
      <c r="I712">
        <v>100</v>
      </c>
      <c r="J712">
        <v>4000</v>
      </c>
      <c r="K712" s="28">
        <v>5.125</v>
      </c>
    </row>
    <row r="713" spans="1:11" ht="15" customHeight="1" x14ac:dyDescent="0.2">
      <c r="A713" s="28" t="s">
        <v>9</v>
      </c>
      <c r="B713" s="2" t="s">
        <v>29</v>
      </c>
      <c r="C713" s="30">
        <v>0.25</v>
      </c>
      <c r="D713" s="28">
        <f>YEAR(TableauFlitrage[[#This Row],[Date_d_adjudication]])</f>
        <v>2019</v>
      </c>
      <c r="E713" s="28">
        <f t="shared" si="11"/>
        <v>12</v>
      </c>
      <c r="F713" s="15">
        <v>43803.5</v>
      </c>
      <c r="G713" s="28">
        <v>98.940297000000001</v>
      </c>
      <c r="H713" s="15">
        <v>43896</v>
      </c>
      <c r="I713">
        <v>103.2667</v>
      </c>
      <c r="J713">
        <v>15000</v>
      </c>
      <c r="K713" s="28">
        <v>4.1921999999999997</v>
      </c>
    </row>
    <row r="714" spans="1:11" ht="15" customHeight="1" x14ac:dyDescent="0.2">
      <c r="A714" s="28" t="s">
        <v>7</v>
      </c>
      <c r="B714" s="2" t="s">
        <v>29</v>
      </c>
      <c r="C714" s="30">
        <v>0.5</v>
      </c>
      <c r="D714" s="28">
        <f>YEAR(TableauFlitrage[[#This Row],[Date_d_adjudication]])</f>
        <v>2019</v>
      </c>
      <c r="E714" s="28">
        <f t="shared" si="11"/>
        <v>12</v>
      </c>
      <c r="F714" s="15">
        <v>43803.53125</v>
      </c>
      <c r="G714" s="28">
        <v>98.653452999999999</v>
      </c>
      <c r="H714" s="15">
        <v>43987</v>
      </c>
      <c r="I714">
        <v>202</v>
      </c>
      <c r="J714">
        <v>20000</v>
      </c>
      <c r="K714" s="28">
        <v>2.6635</v>
      </c>
    </row>
    <row r="715" spans="1:11" ht="15" customHeight="1" x14ac:dyDescent="0.2">
      <c r="A715" s="28" t="s">
        <v>9</v>
      </c>
      <c r="B715" s="2" t="s">
        <v>29</v>
      </c>
      <c r="C715" s="30">
        <v>0.5</v>
      </c>
      <c r="D715" s="28">
        <f>YEAR(TableauFlitrage[[#This Row],[Date_d_adjudication]])</f>
        <v>2019</v>
      </c>
      <c r="E715" s="28">
        <f t="shared" si="11"/>
        <v>12</v>
      </c>
      <c r="F715" s="15">
        <v>43810.625</v>
      </c>
      <c r="G715" s="28">
        <v>97.767972</v>
      </c>
      <c r="H715" s="15">
        <v>43994</v>
      </c>
      <c r="I715">
        <v>126.66670000000001</v>
      </c>
      <c r="J715">
        <v>15000</v>
      </c>
      <c r="K715" s="28">
        <v>4.5179999999999998</v>
      </c>
    </row>
    <row r="716" spans="1:11" ht="15" customHeight="1" x14ac:dyDescent="0.2">
      <c r="A716" s="28" t="s">
        <v>11</v>
      </c>
      <c r="B716" s="2" t="s">
        <v>29</v>
      </c>
      <c r="C716" s="30">
        <v>1</v>
      </c>
      <c r="D716" s="28">
        <f>YEAR(TableauFlitrage[[#This Row],[Date_d_adjudication]])</f>
        <v>2019</v>
      </c>
      <c r="E716" s="28">
        <f t="shared" si="11"/>
        <v>12</v>
      </c>
      <c r="F716" s="15">
        <v>43810.666666666664</v>
      </c>
      <c r="G716" s="28">
        <v>93.591130000000007</v>
      </c>
      <c r="H716" s="15">
        <v>44176</v>
      </c>
      <c r="I716">
        <v>109.3621</v>
      </c>
      <c r="J716">
        <v>6035</v>
      </c>
      <c r="K716" s="28">
        <v>6.3384</v>
      </c>
    </row>
    <row r="717" spans="1:11" ht="15" customHeight="1" x14ac:dyDescent="0.2">
      <c r="A717" s="28" t="s">
        <v>9</v>
      </c>
      <c r="B717" s="2" t="s">
        <v>29</v>
      </c>
      <c r="C717" s="30">
        <v>1</v>
      </c>
      <c r="D717" s="28">
        <f>YEAR(TableauFlitrage[[#This Row],[Date_d_adjudication]])</f>
        <v>2019</v>
      </c>
      <c r="E717" s="28">
        <f t="shared" si="11"/>
        <v>12</v>
      </c>
      <c r="F717" s="15">
        <v>43817.583333333336</v>
      </c>
      <c r="G717" s="28">
        <v>94.691666999999995</v>
      </c>
      <c r="H717" s="15">
        <v>44183</v>
      </c>
      <c r="I717">
        <v>144</v>
      </c>
      <c r="J717">
        <v>5000</v>
      </c>
      <c r="K717" s="28">
        <v>5.25</v>
      </c>
    </row>
    <row r="718" spans="1:11" ht="15" customHeight="1" x14ac:dyDescent="0.2">
      <c r="A718" s="28" t="s">
        <v>8</v>
      </c>
      <c r="B718" s="2" t="s">
        <v>29</v>
      </c>
      <c r="C718" s="30">
        <v>0.25</v>
      </c>
      <c r="D718" s="28">
        <f>YEAR(TableauFlitrage[[#This Row],[Date_d_adjudication]])</f>
        <v>2019</v>
      </c>
      <c r="E718" s="28">
        <f t="shared" si="11"/>
        <v>12</v>
      </c>
      <c r="F718" s="15">
        <v>43817.666666666664</v>
      </c>
      <c r="G718" s="28">
        <v>98.415223999999995</v>
      </c>
      <c r="H718" s="15">
        <v>43910</v>
      </c>
      <c r="I718">
        <v>72</v>
      </c>
      <c r="J718">
        <v>25000</v>
      </c>
      <c r="K718" s="28">
        <v>6.2694000000000001</v>
      </c>
    </row>
    <row r="719" spans="1:11" ht="15" customHeight="1" x14ac:dyDescent="0.2">
      <c r="A719" s="28" t="s">
        <v>11</v>
      </c>
      <c r="B719" s="2" t="s">
        <v>29</v>
      </c>
      <c r="C719" s="30">
        <v>0.5</v>
      </c>
      <c r="D719" s="28">
        <f>YEAR(TableauFlitrage[[#This Row],[Date_d_adjudication]])</f>
        <v>2019</v>
      </c>
      <c r="E719" s="28">
        <f t="shared" si="11"/>
        <v>12</v>
      </c>
      <c r="F719" s="15">
        <v>43817.666666666664</v>
      </c>
      <c r="G719" s="28">
        <v>96.825033000000005</v>
      </c>
      <c r="H719" s="15">
        <v>44001</v>
      </c>
      <c r="I719">
        <v>104.2441</v>
      </c>
      <c r="J719">
        <v>36380</v>
      </c>
      <c r="K719" s="28">
        <v>6.2801999999999998</v>
      </c>
    </row>
    <row r="720" spans="1:11" ht="15" customHeight="1" x14ac:dyDescent="0.2">
      <c r="A720" s="28" t="s">
        <v>11</v>
      </c>
      <c r="B720" s="2" t="s">
        <v>29</v>
      </c>
      <c r="C720" s="30">
        <v>0.5</v>
      </c>
      <c r="D720" s="28">
        <f>YEAR(TableauFlitrage[[#This Row],[Date_d_adjudication]])</f>
        <v>2019</v>
      </c>
      <c r="E720" s="28">
        <f t="shared" si="11"/>
        <v>12</v>
      </c>
      <c r="F720" s="15">
        <v>43825.666666666664</v>
      </c>
      <c r="G720" s="28">
        <v>96.713888999999995</v>
      </c>
      <c r="H720" s="15">
        <v>44008</v>
      </c>
      <c r="I720">
        <v>88.235500000000002</v>
      </c>
      <c r="J720">
        <v>28688</v>
      </c>
      <c r="K720" s="28">
        <v>6.5</v>
      </c>
    </row>
    <row r="721" spans="1:12" ht="15" customHeight="1" x14ac:dyDescent="0.2">
      <c r="A721" s="28" t="s">
        <v>7</v>
      </c>
      <c r="B721" s="2" t="s">
        <v>29</v>
      </c>
      <c r="C721" s="30">
        <v>0.5</v>
      </c>
      <c r="D721" s="28">
        <f>YEAR(TableauFlitrage[[#This Row],[Date_d_adjudication]])</f>
        <v>2020</v>
      </c>
      <c r="E721" s="28">
        <f t="shared" si="11"/>
        <v>1</v>
      </c>
      <c r="F721" s="15">
        <v>43838.520833333336</v>
      </c>
      <c r="G721" s="28">
        <v>98.921903</v>
      </c>
      <c r="H721" s="15">
        <v>44022</v>
      </c>
      <c r="I721">
        <v>205.01499999999999</v>
      </c>
      <c r="J721">
        <v>20000</v>
      </c>
      <c r="K721" s="28">
        <v>2.1324999999999998</v>
      </c>
    </row>
    <row r="722" spans="1:12" ht="15" customHeight="1" x14ac:dyDescent="0.2">
      <c r="A722" s="28" t="s">
        <v>9</v>
      </c>
      <c r="B722" s="2" t="s">
        <v>29</v>
      </c>
      <c r="C722" s="30">
        <v>0.25</v>
      </c>
      <c r="D722" s="28">
        <f>YEAR(TableauFlitrage[[#This Row],[Date_d_adjudication]])</f>
        <v>2020</v>
      </c>
      <c r="E722" s="28">
        <f t="shared" si="11"/>
        <v>1</v>
      </c>
      <c r="F722" s="15">
        <v>43838.5625</v>
      </c>
      <c r="G722" s="28">
        <v>98.976721999999995</v>
      </c>
      <c r="H722" s="15">
        <v>43931</v>
      </c>
      <c r="I722">
        <v>193.04</v>
      </c>
      <c r="J722">
        <v>15000</v>
      </c>
      <c r="K722" s="28">
        <v>4.0480999999999998</v>
      </c>
    </row>
    <row r="723" spans="1:12" ht="15" customHeight="1" x14ac:dyDescent="0.2">
      <c r="A723" s="28" t="s">
        <v>10</v>
      </c>
      <c r="B723" s="2" t="s">
        <v>29</v>
      </c>
      <c r="C723" s="30">
        <v>1</v>
      </c>
      <c r="D723" s="28">
        <f>YEAR(TableauFlitrage[[#This Row],[Date_d_adjudication]])</f>
        <v>2020</v>
      </c>
      <c r="E723" s="28">
        <f t="shared" si="11"/>
        <v>1</v>
      </c>
      <c r="F723" s="15">
        <v>43838.625</v>
      </c>
      <c r="G723" s="28">
        <v>92.753703999999999</v>
      </c>
      <c r="H723" s="15">
        <v>44204</v>
      </c>
      <c r="I723">
        <v>22.666699999999999</v>
      </c>
      <c r="J723">
        <v>15000</v>
      </c>
      <c r="K723" s="28">
        <v>7.1666999999999996</v>
      </c>
    </row>
    <row r="724" spans="1:12" ht="15" customHeight="1" x14ac:dyDescent="0.2">
      <c r="A724" s="28" t="s">
        <v>11</v>
      </c>
      <c r="B724" s="2" t="s">
        <v>29</v>
      </c>
      <c r="C724" s="30">
        <v>0.5</v>
      </c>
      <c r="D724" s="28">
        <f>YEAR(TableauFlitrage[[#This Row],[Date_d_adjudication]])</f>
        <v>2020</v>
      </c>
      <c r="E724" s="28">
        <f t="shared" si="11"/>
        <v>1</v>
      </c>
      <c r="F724" s="15">
        <v>43838.666666666664</v>
      </c>
      <c r="G724" s="28">
        <v>96.713888999999995</v>
      </c>
      <c r="H724" s="15">
        <v>44022</v>
      </c>
      <c r="I724">
        <v>100</v>
      </c>
      <c r="J724">
        <v>11391</v>
      </c>
      <c r="K724" s="28">
        <v>6.5</v>
      </c>
    </row>
    <row r="725" spans="1:12" ht="15" customHeight="1" x14ac:dyDescent="0.2">
      <c r="A725" s="28" t="s">
        <v>9</v>
      </c>
      <c r="B725" s="2" t="s">
        <v>29</v>
      </c>
      <c r="C725" s="30">
        <v>0.5</v>
      </c>
      <c r="D725" s="28">
        <f>YEAR(TableauFlitrage[[#This Row],[Date_d_adjudication]])</f>
        <v>2020</v>
      </c>
      <c r="E725" s="28">
        <f t="shared" si="11"/>
        <v>1</v>
      </c>
      <c r="F725" s="15">
        <v>43845.5</v>
      </c>
      <c r="G725" s="28">
        <v>97.787300000000002</v>
      </c>
      <c r="H725" s="15">
        <v>44029</v>
      </c>
      <c r="I725">
        <v>215.33330000000001</v>
      </c>
      <c r="J725">
        <v>15000</v>
      </c>
      <c r="K725" s="28">
        <v>4.3766999999999996</v>
      </c>
    </row>
    <row r="726" spans="1:12" ht="15" customHeight="1" x14ac:dyDescent="0.2">
      <c r="A726" s="28" t="s">
        <v>7</v>
      </c>
      <c r="B726" s="2" t="s">
        <v>29</v>
      </c>
      <c r="C726" s="30">
        <v>1</v>
      </c>
      <c r="D726" s="28">
        <f>YEAR(TableauFlitrage[[#This Row],[Date_d_adjudication]])</f>
        <v>2020</v>
      </c>
      <c r="E726" s="28">
        <f t="shared" si="11"/>
        <v>1</v>
      </c>
      <c r="F726" s="15">
        <v>43845.5</v>
      </c>
      <c r="G726" s="28">
        <v>97.277583000000007</v>
      </c>
      <c r="H726" s="15">
        <v>44211</v>
      </c>
      <c r="I726">
        <v>165</v>
      </c>
      <c r="J726">
        <v>10000</v>
      </c>
      <c r="K726" s="28">
        <v>2.6924999999999999</v>
      </c>
    </row>
    <row r="727" spans="1:12" ht="15" customHeight="1" x14ac:dyDescent="0.2">
      <c r="A727" s="28" t="s">
        <v>11</v>
      </c>
      <c r="B727" s="2" t="s">
        <v>29</v>
      </c>
      <c r="C727" s="30">
        <v>0.5</v>
      </c>
      <c r="D727" s="28">
        <f>YEAR(TableauFlitrage[[#This Row],[Date_d_adjudication]])</f>
        <v>2020</v>
      </c>
      <c r="E727" s="28">
        <f t="shared" si="11"/>
        <v>1</v>
      </c>
      <c r="F727" s="15">
        <v>43845.666666666664</v>
      </c>
      <c r="G727" s="28">
        <v>96.913729000000004</v>
      </c>
      <c r="H727" s="15">
        <v>44029</v>
      </c>
      <c r="I727">
        <v>126.6086</v>
      </c>
      <c r="J727">
        <v>12045</v>
      </c>
      <c r="K727" s="28">
        <v>6.1047000000000002</v>
      </c>
    </row>
    <row r="728" spans="1:12" ht="15" customHeight="1" x14ac:dyDescent="0.2">
      <c r="A728" s="28" t="s">
        <v>8</v>
      </c>
      <c r="B728" s="2" t="s">
        <v>29</v>
      </c>
      <c r="C728" s="30">
        <v>1</v>
      </c>
      <c r="D728" s="28">
        <f>YEAR(TableauFlitrage[[#This Row],[Date_d_adjudication]])</f>
        <v>2020</v>
      </c>
      <c r="E728" s="28">
        <f t="shared" si="11"/>
        <v>1</v>
      </c>
      <c r="F728" s="15">
        <v>43845.666666666664</v>
      </c>
      <c r="G728" s="28">
        <v>93.361714000000006</v>
      </c>
      <c r="H728" s="15">
        <v>44211</v>
      </c>
      <c r="I728">
        <v>75.25</v>
      </c>
      <c r="J728">
        <v>12000</v>
      </c>
      <c r="K728" s="28">
        <v>6.5652999999999997</v>
      </c>
    </row>
    <row r="729" spans="1:12" ht="15" customHeight="1" x14ac:dyDescent="0.2">
      <c r="A729" s="28" t="s">
        <v>9</v>
      </c>
      <c r="B729" s="2" t="s">
        <v>29</v>
      </c>
      <c r="C729" s="30">
        <v>0.25</v>
      </c>
      <c r="D729" s="28">
        <f>YEAR(TableauFlitrage[[#This Row],[Date_d_adjudication]])</f>
        <v>2020</v>
      </c>
      <c r="E729" s="28">
        <f t="shared" si="11"/>
        <v>1</v>
      </c>
      <c r="F729" s="15">
        <v>43852.5</v>
      </c>
      <c r="G729" s="28">
        <v>98.976166000000006</v>
      </c>
      <c r="H729" s="15">
        <v>43945</v>
      </c>
      <c r="I729">
        <v>174</v>
      </c>
      <c r="J729">
        <v>15000</v>
      </c>
      <c r="K729" s="28">
        <v>4.0503</v>
      </c>
    </row>
    <row r="730" spans="1:12" ht="15" customHeight="1" x14ac:dyDescent="0.2">
      <c r="A730" s="28" t="s">
        <v>10</v>
      </c>
      <c r="B730" s="2" t="s">
        <v>29</v>
      </c>
      <c r="C730" s="30">
        <v>1</v>
      </c>
      <c r="D730" s="28">
        <f>YEAR(TableauFlitrage[[#This Row],[Date_d_adjudication]])</f>
        <v>2020</v>
      </c>
      <c r="E730" s="28">
        <f t="shared" si="11"/>
        <v>1</v>
      </c>
      <c r="F730" s="15">
        <v>43852.5</v>
      </c>
      <c r="G730" s="28">
        <v>91.88015</v>
      </c>
      <c r="H730" s="15">
        <v>44218</v>
      </c>
      <c r="I730">
        <v>70.22</v>
      </c>
      <c r="J730">
        <v>15000</v>
      </c>
      <c r="K730" s="28">
        <v>8.0306999999999995</v>
      </c>
    </row>
    <row r="731" spans="1:12" ht="15" customHeight="1" x14ac:dyDescent="0.2">
      <c r="A731" s="28" t="s">
        <v>11</v>
      </c>
      <c r="B731" s="2" t="s">
        <v>29</v>
      </c>
      <c r="C731" s="30">
        <v>0.5</v>
      </c>
      <c r="D731" s="28">
        <f>YEAR(TableauFlitrage[[#This Row],[Date_d_adjudication]])</f>
        <v>2020</v>
      </c>
      <c r="E731" s="28">
        <f t="shared" si="11"/>
        <v>1</v>
      </c>
      <c r="F731" s="15">
        <v>43852.666666666664</v>
      </c>
      <c r="G731" s="28">
        <v>96.966667000000001</v>
      </c>
      <c r="H731" s="15">
        <v>44036</v>
      </c>
      <c r="I731">
        <v>311.3048</v>
      </c>
      <c r="J731">
        <v>4131</v>
      </c>
      <c r="K731" s="28">
        <v>6</v>
      </c>
    </row>
    <row r="732" spans="1:12" ht="15" customHeight="1" x14ac:dyDescent="0.2">
      <c r="A732" s="28" t="s">
        <v>9</v>
      </c>
      <c r="B732" s="2" t="s">
        <v>29</v>
      </c>
      <c r="C732" s="30">
        <v>0.25</v>
      </c>
      <c r="D732" s="28">
        <f>YEAR(TableauFlitrage[[#This Row],[Date_d_adjudication]])</f>
        <v>2020</v>
      </c>
      <c r="E732" s="28">
        <f t="shared" si="11"/>
        <v>1</v>
      </c>
      <c r="F732" s="15">
        <v>43859.5</v>
      </c>
      <c r="G732" s="28">
        <v>98.946759</v>
      </c>
      <c r="H732" s="15">
        <v>43952</v>
      </c>
      <c r="I732">
        <v>173</v>
      </c>
      <c r="J732">
        <v>15000</v>
      </c>
      <c r="K732" s="28">
        <v>4.1666999999999996</v>
      </c>
    </row>
    <row r="733" spans="1:12" ht="15" customHeight="1" x14ac:dyDescent="0.2">
      <c r="A733" s="28" t="s">
        <v>7</v>
      </c>
      <c r="B733" s="2" t="s">
        <v>29</v>
      </c>
      <c r="C733" s="30">
        <v>0.5</v>
      </c>
      <c r="D733" s="28">
        <f>YEAR(TableauFlitrage[[#This Row],[Date_d_adjudication]])</f>
        <v>2020</v>
      </c>
      <c r="E733" s="28">
        <f t="shared" si="11"/>
        <v>1</v>
      </c>
      <c r="F733" s="15">
        <v>43859.5</v>
      </c>
      <c r="G733" s="28">
        <v>98.639033999999995</v>
      </c>
      <c r="H733" s="15">
        <v>44043</v>
      </c>
      <c r="I733">
        <v>106</v>
      </c>
      <c r="J733">
        <v>50000</v>
      </c>
      <c r="K733" s="28">
        <v>2.6920000000000002</v>
      </c>
    </row>
    <row r="734" spans="1:12" ht="15" customHeight="1" x14ac:dyDescent="0.2">
      <c r="A734" s="28" t="e">
        <f>IF(LEFT(#REF!,2)="CM","Cameroun",IF(LEFT(#REF!,2)="CF","Centrafrique",IF(LEFT(#REF!,2)="CG","Congo",IF(LEFT(#REF!,2)="GA","Gabon",IF(LEFT(#REF!,2)="GQ","Guinée Equatoriale","Tchad")))))</f>
        <v>#REF!</v>
      </c>
      <c r="B734" t="s">
        <v>30</v>
      </c>
      <c r="C734" s="30" t="s">
        <v>53</v>
      </c>
      <c r="D734" s="28">
        <f>YEAR(TableauFlitrage[[#This Row],[Date_d_adjudication]])</f>
        <v>2020</v>
      </c>
      <c r="E734" s="28">
        <f t="shared" si="11"/>
        <v>1</v>
      </c>
      <c r="F734" s="15">
        <v>43859.5</v>
      </c>
      <c r="G734" s="28">
        <v>91.042199999999994</v>
      </c>
      <c r="H734" s="15">
        <v>44592</v>
      </c>
      <c r="I734">
        <v>141.76</v>
      </c>
      <c r="J734">
        <v>12500</v>
      </c>
      <c r="K734" s="28">
        <v>4.75</v>
      </c>
      <c r="L734">
        <v>9.76</v>
      </c>
    </row>
    <row r="735" spans="1:12" ht="15" customHeight="1" x14ac:dyDescent="0.2">
      <c r="A735" s="28" t="s">
        <v>11</v>
      </c>
      <c r="B735" s="2" t="s">
        <v>29</v>
      </c>
      <c r="C735" s="30">
        <v>0.5</v>
      </c>
      <c r="D735" s="28">
        <f>YEAR(TableauFlitrage[[#This Row],[Date_d_adjudication]])</f>
        <v>2020</v>
      </c>
      <c r="E735" s="28">
        <f t="shared" si="11"/>
        <v>1</v>
      </c>
      <c r="F735" s="15">
        <v>43860.666666666664</v>
      </c>
      <c r="G735" s="28">
        <v>96.902178000000006</v>
      </c>
      <c r="H735" s="15">
        <v>44043</v>
      </c>
      <c r="I735">
        <v>134.7362</v>
      </c>
      <c r="J735">
        <v>8055</v>
      </c>
      <c r="K735" s="28">
        <v>6.1276000000000002</v>
      </c>
    </row>
    <row r="736" spans="1:12" ht="15" customHeight="1" x14ac:dyDescent="0.2">
      <c r="A736" s="28" t="e">
        <f>IF(LEFT(#REF!,2)="CM","Cameroun",IF(LEFT(#REF!,2)="CF","Centrafrique",IF(LEFT(#REF!,2)="CG","Congo",IF(LEFT(#REF!,2)="GA","Gabon",IF(LEFT(#REF!,2)="GQ","Guinée Equatoriale","Tchad")))))</f>
        <v>#REF!</v>
      </c>
      <c r="B736" t="s">
        <v>30</v>
      </c>
      <c r="C736" s="30" t="s">
        <v>53</v>
      </c>
      <c r="D736" s="28">
        <f>YEAR(TableauFlitrage[[#This Row],[Date_d_adjudication]])</f>
        <v>2020</v>
      </c>
      <c r="E736" s="28">
        <f t="shared" si="11"/>
        <v>1</v>
      </c>
      <c r="F736" s="15">
        <v>43860.708333333336</v>
      </c>
      <c r="G736" s="28">
        <v>90.093329999999995</v>
      </c>
      <c r="H736" s="15">
        <v>44592</v>
      </c>
      <c r="I736">
        <v>110</v>
      </c>
      <c r="J736">
        <v>30000</v>
      </c>
      <c r="K736" s="28">
        <v>6</v>
      </c>
      <c r="L736">
        <v>11.18</v>
      </c>
    </row>
    <row r="737" spans="1:12" ht="15" customHeight="1" x14ac:dyDescent="0.2">
      <c r="A737" s="28" t="s">
        <v>9</v>
      </c>
      <c r="B737" s="2" t="s">
        <v>29</v>
      </c>
      <c r="C737" s="30">
        <v>0.5</v>
      </c>
      <c r="D737" s="28">
        <f>YEAR(TableauFlitrage[[#This Row],[Date_d_adjudication]])</f>
        <v>2020</v>
      </c>
      <c r="E737" s="28">
        <f t="shared" si="11"/>
        <v>2</v>
      </c>
      <c r="F737" s="15">
        <v>43862</v>
      </c>
      <c r="G737" s="28">
        <v>97.910685999999998</v>
      </c>
      <c r="H737" s="15">
        <v>44057</v>
      </c>
      <c r="I737">
        <v>301.25</v>
      </c>
      <c r="J737">
        <v>12000</v>
      </c>
      <c r="K737" s="28">
        <v>4.1326999999999998</v>
      </c>
    </row>
    <row r="738" spans="1:12" ht="15" customHeight="1" x14ac:dyDescent="0.2">
      <c r="A738" s="28" t="s">
        <v>9</v>
      </c>
      <c r="B738" s="2" t="s">
        <v>29</v>
      </c>
      <c r="C738" s="30">
        <v>0.5</v>
      </c>
      <c r="D738" s="28">
        <f>YEAR(TableauFlitrage[[#This Row],[Date_d_adjudication]])</f>
        <v>2020</v>
      </c>
      <c r="E738" s="28">
        <f t="shared" si="11"/>
        <v>2</v>
      </c>
      <c r="F738" s="15">
        <v>43866</v>
      </c>
      <c r="G738" s="28">
        <v>97.892222000000004</v>
      </c>
      <c r="H738" s="15">
        <v>44050</v>
      </c>
      <c r="I738">
        <v>254.23079999999999</v>
      </c>
      <c r="J738">
        <v>13000</v>
      </c>
      <c r="K738" s="28">
        <v>4.1692</v>
      </c>
    </row>
    <row r="739" spans="1:12" ht="15" customHeight="1" x14ac:dyDescent="0.2">
      <c r="A739" s="28" t="s">
        <v>10</v>
      </c>
      <c r="B739" s="2" t="s">
        <v>29</v>
      </c>
      <c r="C739" s="30">
        <v>1</v>
      </c>
      <c r="D739" s="28">
        <f>YEAR(TableauFlitrage[[#This Row],[Date_d_adjudication]])</f>
        <v>2020</v>
      </c>
      <c r="E739" s="28">
        <f t="shared" si="11"/>
        <v>2</v>
      </c>
      <c r="F739" s="15">
        <v>43866</v>
      </c>
      <c r="G739" s="28">
        <v>91.988886399999998</v>
      </c>
      <c r="H739" s="15">
        <v>44232</v>
      </c>
      <c r="I739">
        <v>86.66</v>
      </c>
      <c r="J739">
        <v>15000</v>
      </c>
      <c r="K739" s="28">
        <v>7.9230999999999998</v>
      </c>
    </row>
    <row r="740" spans="1:12" ht="15" customHeight="1" x14ac:dyDescent="0.2">
      <c r="A740" s="28" t="s">
        <v>11</v>
      </c>
      <c r="B740" s="2" t="s">
        <v>29</v>
      </c>
      <c r="C740" s="30">
        <v>0.5</v>
      </c>
      <c r="D740" s="28">
        <f>YEAR(TableauFlitrage[[#This Row],[Date_d_adjudication]])</f>
        <v>2020</v>
      </c>
      <c r="E740" s="28">
        <f t="shared" si="11"/>
        <v>2</v>
      </c>
      <c r="F740" s="15">
        <v>43866</v>
      </c>
      <c r="G740" s="28">
        <v>96.854045999999997</v>
      </c>
      <c r="H740" s="15">
        <v>44050</v>
      </c>
      <c r="I740">
        <v>117.64700000000001</v>
      </c>
      <c r="J740">
        <v>8262</v>
      </c>
      <c r="K740" s="28">
        <v>6.2228000000000003</v>
      </c>
    </row>
    <row r="741" spans="1:12" ht="15" customHeight="1" x14ac:dyDescent="0.2">
      <c r="A741" s="28" t="s">
        <v>8</v>
      </c>
      <c r="B741" t="s">
        <v>30</v>
      </c>
      <c r="C741" s="30" t="s">
        <v>53</v>
      </c>
      <c r="D741" s="28">
        <f>YEAR(TableauFlitrage[[#This Row],[Date_d_adjudication]])</f>
        <v>2020</v>
      </c>
      <c r="E741" s="28">
        <f t="shared" si="11"/>
        <v>2</v>
      </c>
      <c r="F741" s="15">
        <v>43866</v>
      </c>
      <c r="G741" s="28">
        <f>9061.54/10000*100</f>
        <v>90.615400000000008</v>
      </c>
      <c r="H741" s="15">
        <v>44592</v>
      </c>
      <c r="I741">
        <v>110</v>
      </c>
      <c r="J741">
        <v>11000</v>
      </c>
      <c r="K741" s="28">
        <v>6</v>
      </c>
      <c r="L741">
        <v>11.38</v>
      </c>
    </row>
    <row r="742" spans="1:12" ht="15" customHeight="1" x14ac:dyDescent="0.2">
      <c r="A742" s="28" t="s">
        <v>7</v>
      </c>
      <c r="B742" s="2" t="s">
        <v>29</v>
      </c>
      <c r="C742" s="30">
        <v>0.5</v>
      </c>
      <c r="D742" s="28">
        <f>YEAR(TableauFlitrage[[#This Row],[Date_d_adjudication]])</f>
        <v>2020</v>
      </c>
      <c r="E742" s="28">
        <f t="shared" si="11"/>
        <v>2</v>
      </c>
      <c r="F742" s="15">
        <v>43873</v>
      </c>
      <c r="G742" s="28">
        <v>98.650555999999995</v>
      </c>
      <c r="H742" s="15">
        <v>44057</v>
      </c>
      <c r="I742">
        <v>94.5</v>
      </c>
      <c r="J742">
        <v>20000</v>
      </c>
      <c r="K742" s="28">
        <v>2.6692</v>
      </c>
    </row>
    <row r="743" spans="1:12" ht="15" customHeight="1" x14ac:dyDescent="0.2">
      <c r="A743" s="28" t="s">
        <v>8</v>
      </c>
      <c r="B743" s="2" t="s">
        <v>29</v>
      </c>
      <c r="C743" s="30">
        <v>0.5</v>
      </c>
      <c r="D743" s="28">
        <f>YEAR(TableauFlitrage[[#This Row],[Date_d_adjudication]])</f>
        <v>2020</v>
      </c>
      <c r="E743" s="28">
        <f t="shared" si="11"/>
        <v>2</v>
      </c>
      <c r="F743" s="15">
        <v>43880</v>
      </c>
      <c r="G743" s="28">
        <v>96.966667000000001</v>
      </c>
      <c r="H743" s="15">
        <v>44064</v>
      </c>
      <c r="I743">
        <v>408.02</v>
      </c>
      <c r="J743">
        <v>10000</v>
      </c>
      <c r="K743" s="28">
        <v>6</v>
      </c>
    </row>
    <row r="744" spans="1:12" ht="15" customHeight="1" x14ac:dyDescent="0.2">
      <c r="A744" s="28" t="s">
        <v>7</v>
      </c>
      <c r="B744" s="2" t="s">
        <v>29</v>
      </c>
      <c r="C744" s="30">
        <v>1</v>
      </c>
      <c r="D744" s="28">
        <f>YEAR(TableauFlitrage[[#This Row],[Date_d_adjudication]])</f>
        <v>2020</v>
      </c>
      <c r="E744" s="28">
        <f t="shared" si="11"/>
        <v>2</v>
      </c>
      <c r="F744" s="15">
        <v>43880</v>
      </c>
      <c r="G744" s="28">
        <v>96.610755999999995</v>
      </c>
      <c r="H744" s="15">
        <v>44246</v>
      </c>
      <c r="I744">
        <v>153</v>
      </c>
      <c r="J744">
        <v>20000</v>
      </c>
      <c r="K744" s="28">
        <v>3.3519999999999999</v>
      </c>
    </row>
    <row r="745" spans="1:12" ht="15" customHeight="1" x14ac:dyDescent="0.2">
      <c r="A745" s="28" t="s">
        <v>9</v>
      </c>
      <c r="B745" s="2" t="s">
        <v>29</v>
      </c>
      <c r="C745" s="30">
        <v>0.25</v>
      </c>
      <c r="D745" s="28">
        <f>YEAR(TableauFlitrage[[#This Row],[Date_d_adjudication]])</f>
        <v>2020</v>
      </c>
      <c r="E745" s="28">
        <f t="shared" si="11"/>
        <v>2</v>
      </c>
      <c r="F745" s="15">
        <v>43880</v>
      </c>
      <c r="G745" s="28">
        <v>98.964222000000007</v>
      </c>
      <c r="H745" s="15">
        <v>43973</v>
      </c>
      <c r="I745">
        <v>129.6867</v>
      </c>
      <c r="J745">
        <v>15000</v>
      </c>
      <c r="K745" s="28">
        <v>4.0975999999999999</v>
      </c>
    </row>
    <row r="746" spans="1:12" ht="15" customHeight="1" x14ac:dyDescent="0.2">
      <c r="A746" s="28" t="s">
        <v>11</v>
      </c>
      <c r="B746" s="2" t="s">
        <v>29</v>
      </c>
      <c r="C746" s="30">
        <v>0.5</v>
      </c>
      <c r="D746" s="28">
        <f>YEAR(TableauFlitrage[[#This Row],[Date_d_adjudication]])</f>
        <v>2020</v>
      </c>
      <c r="E746" s="28">
        <f t="shared" si="11"/>
        <v>2</v>
      </c>
      <c r="F746" s="15">
        <v>43880</v>
      </c>
      <c r="G746" s="28">
        <v>96.851439999999997</v>
      </c>
      <c r="H746" s="15">
        <v>44064</v>
      </c>
      <c r="I746">
        <v>81.287599999999998</v>
      </c>
      <c r="J746">
        <v>8636</v>
      </c>
      <c r="K746" s="28">
        <v>6.2279</v>
      </c>
    </row>
    <row r="747" spans="1:12" ht="15" customHeight="1" x14ac:dyDescent="0.2">
      <c r="A747" s="28" t="s">
        <v>9</v>
      </c>
      <c r="B747" t="s">
        <v>30</v>
      </c>
      <c r="C747" s="30" t="s">
        <v>54</v>
      </c>
      <c r="D747" s="28">
        <f>YEAR(TableauFlitrage[[#This Row],[Date_d_adjudication]])</f>
        <v>2020</v>
      </c>
      <c r="E747" s="28">
        <f t="shared" si="11"/>
        <v>2</v>
      </c>
      <c r="F747" s="15">
        <v>43880</v>
      </c>
      <c r="G747" s="28">
        <f>9202.43/10000*100</f>
        <v>92.024299999999997</v>
      </c>
      <c r="H747" s="15">
        <v>44978</v>
      </c>
      <c r="I747">
        <v>123.667</v>
      </c>
      <c r="J747">
        <v>15000</v>
      </c>
      <c r="K747" s="28">
        <v>5</v>
      </c>
      <c r="L747">
        <v>8.0500000000000007</v>
      </c>
    </row>
    <row r="748" spans="1:12" ht="15" customHeight="1" x14ac:dyDescent="0.2">
      <c r="A748" s="28" t="s">
        <v>9</v>
      </c>
      <c r="B748" s="2" t="s">
        <v>29</v>
      </c>
      <c r="C748" s="30">
        <v>0.25</v>
      </c>
      <c r="D748" s="28">
        <f>YEAR(TableauFlitrage[[#This Row],[Date_d_adjudication]])</f>
        <v>2020</v>
      </c>
      <c r="E748" s="28">
        <f t="shared" si="11"/>
        <v>2</v>
      </c>
      <c r="F748" s="15">
        <v>43887</v>
      </c>
      <c r="G748" s="28">
        <v>98.955737999999997</v>
      </c>
      <c r="H748" s="15">
        <v>43980</v>
      </c>
      <c r="I748">
        <v>184.02670000000001</v>
      </c>
      <c r="J748">
        <v>15000</v>
      </c>
      <c r="K748" s="28">
        <v>4.1311</v>
      </c>
    </row>
    <row r="749" spans="1:12" ht="15" customHeight="1" x14ac:dyDescent="0.2">
      <c r="A749" s="28" t="s">
        <v>10</v>
      </c>
      <c r="B749" s="2" t="s">
        <v>29</v>
      </c>
      <c r="C749" s="30">
        <v>0.5</v>
      </c>
      <c r="D749" s="28">
        <f>YEAR(TableauFlitrage[[#This Row],[Date_d_adjudication]])</f>
        <v>2020</v>
      </c>
      <c r="E749" s="28">
        <f t="shared" si="11"/>
        <v>2</v>
      </c>
      <c r="F749" s="15">
        <v>43887</v>
      </c>
      <c r="G749" s="28">
        <v>96.730740999999995</v>
      </c>
      <c r="H749" s="15">
        <v>44071</v>
      </c>
      <c r="I749">
        <v>153.86670000000001</v>
      </c>
      <c r="J749">
        <v>15000</v>
      </c>
      <c r="K749" s="28">
        <v>6.4667000000000003</v>
      </c>
    </row>
    <row r="750" spans="1:12" ht="15" customHeight="1" x14ac:dyDescent="0.2">
      <c r="A750" s="28" t="s">
        <v>11</v>
      </c>
      <c r="B750" s="2" t="s">
        <v>29</v>
      </c>
      <c r="C750" s="30">
        <v>0.5</v>
      </c>
      <c r="D750" s="28">
        <f>YEAR(TableauFlitrage[[#This Row],[Date_d_adjudication]])</f>
        <v>2020</v>
      </c>
      <c r="E750" s="28">
        <f t="shared" si="11"/>
        <v>2</v>
      </c>
      <c r="F750" s="15">
        <v>43887</v>
      </c>
      <c r="G750" s="28">
        <v>96.753112999999999</v>
      </c>
      <c r="H750" s="15">
        <v>44071</v>
      </c>
      <c r="I750">
        <v>105.58</v>
      </c>
      <c r="J750">
        <v>16111</v>
      </c>
      <c r="K750" s="28">
        <v>6.4223999999999997</v>
      </c>
    </row>
    <row r="751" spans="1:12" ht="15" customHeight="1" x14ac:dyDescent="0.2">
      <c r="A751" s="28" t="s">
        <v>9</v>
      </c>
      <c r="B751" s="2" t="s">
        <v>29</v>
      </c>
      <c r="C751" s="30">
        <v>0.5</v>
      </c>
      <c r="D751" s="28">
        <f>YEAR(TableauFlitrage[[#This Row],[Date_d_adjudication]])</f>
        <v>2020</v>
      </c>
      <c r="E751" s="28">
        <f t="shared" si="11"/>
        <v>3</v>
      </c>
      <c r="F751" s="15">
        <v>43894.5</v>
      </c>
      <c r="G751" s="28">
        <v>97.930882999999994</v>
      </c>
      <c r="H751" s="15">
        <v>44078</v>
      </c>
      <c r="I751">
        <v>206.89660000000001</v>
      </c>
      <c r="J751">
        <v>14500</v>
      </c>
      <c r="K751" s="28">
        <v>4.0928000000000004</v>
      </c>
    </row>
    <row r="752" spans="1:12" ht="15" customHeight="1" x14ac:dyDescent="0.2">
      <c r="A752" s="28" t="s">
        <v>7</v>
      </c>
      <c r="B752" s="2" t="s">
        <v>29</v>
      </c>
      <c r="C752" s="30">
        <v>0.5</v>
      </c>
      <c r="D752" s="28">
        <f>YEAR(TableauFlitrage[[#This Row],[Date_d_adjudication]])</f>
        <v>2020</v>
      </c>
      <c r="E752" s="28">
        <f t="shared" si="11"/>
        <v>3</v>
      </c>
      <c r="F752" s="15">
        <v>43894.5</v>
      </c>
      <c r="G752" s="28">
        <v>98.614900000000006</v>
      </c>
      <c r="H752" s="15">
        <v>44078</v>
      </c>
      <c r="I752">
        <v>163.5</v>
      </c>
      <c r="J752">
        <v>20000</v>
      </c>
      <c r="K752" s="28">
        <v>2.7397999999999998</v>
      </c>
    </row>
    <row r="753" spans="1:12" ht="15" customHeight="1" x14ac:dyDescent="0.2">
      <c r="A753" s="28" t="s">
        <v>8</v>
      </c>
      <c r="B753" t="s">
        <v>30</v>
      </c>
      <c r="C753" s="30" t="s">
        <v>53</v>
      </c>
      <c r="D753" s="28">
        <f>YEAR(TableauFlitrage[[#This Row],[Date_d_adjudication]])</f>
        <v>2020</v>
      </c>
      <c r="E753" s="28">
        <f t="shared" si="11"/>
        <v>3</v>
      </c>
      <c r="F753" s="15">
        <v>43894.708333333336</v>
      </c>
      <c r="G753" s="28">
        <v>91.245000000000005</v>
      </c>
      <c r="H753" s="15">
        <v>44626</v>
      </c>
      <c r="I753">
        <v>120.2</v>
      </c>
      <c r="J753">
        <v>35000</v>
      </c>
      <c r="K753" s="28">
        <v>6</v>
      </c>
      <c r="L753">
        <v>11</v>
      </c>
    </row>
    <row r="754" spans="1:12" ht="15" customHeight="1" x14ac:dyDescent="0.2">
      <c r="A754" s="28" t="s">
        <v>11</v>
      </c>
      <c r="B754" s="2" t="s">
        <v>29</v>
      </c>
      <c r="C754" s="30">
        <v>0.5</v>
      </c>
      <c r="D754" s="28">
        <f>YEAR(TableauFlitrage[[#This Row],[Date_d_adjudication]])</f>
        <v>2020</v>
      </c>
      <c r="E754" s="28">
        <f t="shared" si="11"/>
        <v>3</v>
      </c>
      <c r="F754" s="15">
        <v>43895.666666666664</v>
      </c>
      <c r="G754" s="28">
        <v>96.826374000000001</v>
      </c>
      <c r="H754" s="15">
        <v>44078</v>
      </c>
      <c r="I754">
        <v>119.4423</v>
      </c>
      <c r="J754">
        <v>13090</v>
      </c>
      <c r="K754" s="28">
        <v>6.2774999999999999</v>
      </c>
    </row>
    <row r="755" spans="1:12" ht="15" customHeight="1" x14ac:dyDescent="0.2">
      <c r="A755" s="28" t="s">
        <v>9</v>
      </c>
      <c r="B755" s="2" t="s">
        <v>29</v>
      </c>
      <c r="C755" s="30">
        <v>0.5</v>
      </c>
      <c r="D755" s="28">
        <f>YEAR(TableauFlitrage[[#This Row],[Date_d_adjudication]])</f>
        <v>2020</v>
      </c>
      <c r="E755" s="28">
        <f t="shared" si="11"/>
        <v>3</v>
      </c>
      <c r="F755" s="15">
        <v>43901.583333333336</v>
      </c>
      <c r="G755" s="28">
        <v>97.8476</v>
      </c>
      <c r="H755" s="15">
        <v>44085</v>
      </c>
      <c r="I755">
        <v>216.20689999999999</v>
      </c>
      <c r="J755">
        <v>14500</v>
      </c>
      <c r="K755" s="28">
        <v>4.2573999999999996</v>
      </c>
    </row>
    <row r="756" spans="1:12" ht="15" customHeight="1" x14ac:dyDescent="0.2">
      <c r="A756" s="28" t="s">
        <v>10</v>
      </c>
      <c r="B756" s="2" t="s">
        <v>29</v>
      </c>
      <c r="C756" s="30">
        <v>1</v>
      </c>
      <c r="D756" s="28">
        <f>YEAR(TableauFlitrage[[#This Row],[Date_d_adjudication]])</f>
        <v>2020</v>
      </c>
      <c r="E756" s="28">
        <f t="shared" si="11"/>
        <v>3</v>
      </c>
      <c r="F756" s="15">
        <v>43901.625</v>
      </c>
      <c r="G756" s="28">
        <v>92.217815000000002</v>
      </c>
      <c r="H756" s="15">
        <v>44267</v>
      </c>
      <c r="I756">
        <v>126.66670000000001</v>
      </c>
      <c r="J756">
        <v>15000</v>
      </c>
      <c r="K756" s="28">
        <v>7.6966999999999999</v>
      </c>
    </row>
    <row r="757" spans="1:12" ht="15" customHeight="1" x14ac:dyDescent="0.2">
      <c r="A757" s="28" t="s">
        <v>11</v>
      </c>
      <c r="B757" s="2" t="s">
        <v>29</v>
      </c>
      <c r="C757" s="30">
        <v>0.5</v>
      </c>
      <c r="D757" s="28">
        <f>YEAR(TableauFlitrage[[#This Row],[Date_d_adjudication]])</f>
        <v>2020</v>
      </c>
      <c r="E757" s="28">
        <f t="shared" si="11"/>
        <v>3</v>
      </c>
      <c r="F757" s="15">
        <v>43901.666666666664</v>
      </c>
      <c r="G757" s="28">
        <v>96.735684000000006</v>
      </c>
      <c r="H757" s="15">
        <v>44085</v>
      </c>
      <c r="I757">
        <v>99.996300000000005</v>
      </c>
      <c r="J757">
        <v>27256</v>
      </c>
      <c r="K757" s="28">
        <v>6.4569000000000001</v>
      </c>
    </row>
    <row r="758" spans="1:12" ht="15" customHeight="1" x14ac:dyDescent="0.2">
      <c r="A758" s="28" t="s">
        <v>8</v>
      </c>
      <c r="B758" s="2" t="s">
        <v>29</v>
      </c>
      <c r="C758" s="30">
        <v>0.5</v>
      </c>
      <c r="D758" s="28">
        <f>YEAR(TableauFlitrage[[#This Row],[Date_d_adjudication]])</f>
        <v>2020</v>
      </c>
      <c r="E758" s="28">
        <f t="shared" ref="E758:E821" si="12">MONTH(F758)</f>
        <v>3</v>
      </c>
      <c r="F758" s="15">
        <v>43901.708333333336</v>
      </c>
      <c r="G758" s="28">
        <v>97.012200000000007</v>
      </c>
      <c r="H758" s="15">
        <v>44085</v>
      </c>
      <c r="I758">
        <v>198.04</v>
      </c>
      <c r="J758">
        <v>10000</v>
      </c>
      <c r="K758" s="28">
        <v>5.91</v>
      </c>
    </row>
    <row r="759" spans="1:12" ht="15" customHeight="1" x14ac:dyDescent="0.2">
      <c r="A759" s="28" t="s">
        <v>9</v>
      </c>
      <c r="B759" s="2" t="s">
        <v>29</v>
      </c>
      <c r="C759" s="30">
        <v>0.25</v>
      </c>
      <c r="D759" s="28">
        <f>YEAR(TableauFlitrage[[#This Row],[Date_d_adjudication]])</f>
        <v>2020</v>
      </c>
      <c r="E759" s="28">
        <f t="shared" si="12"/>
        <v>3</v>
      </c>
      <c r="F759" s="15">
        <v>43908.625</v>
      </c>
      <c r="G759" s="28">
        <v>99.019400000000005</v>
      </c>
      <c r="H759" s="15">
        <v>44001</v>
      </c>
      <c r="I759">
        <v>174.66669999999999</v>
      </c>
      <c r="J759">
        <v>15000</v>
      </c>
      <c r="K759" s="28">
        <v>3.879</v>
      </c>
    </row>
    <row r="760" spans="1:12" ht="15" customHeight="1" x14ac:dyDescent="0.2">
      <c r="A760" s="28" t="e">
        <f>IF(LEFT(#REF!,2)="CM","Cameroun",IF(LEFT(#REF!,2)="CF","Centrafrique",IF(LEFT(#REF!,2)="CG","Congo",IF(LEFT(#REF!,2)="GA","Gabon",IF(LEFT(#REF!,2)="GQ","Guinée Equatoriale","Tchad")))))</f>
        <v>#REF!</v>
      </c>
      <c r="B760" t="s">
        <v>30</v>
      </c>
      <c r="C760" s="30" t="s">
        <v>54</v>
      </c>
      <c r="D760" s="28">
        <f>YEAR(TableauFlitrage[[#This Row],[Date_d_adjudication]])</f>
        <v>2020</v>
      </c>
      <c r="E760" s="28">
        <f t="shared" si="12"/>
        <v>3</v>
      </c>
      <c r="F760" s="15">
        <v>43908.625</v>
      </c>
      <c r="G760" s="28">
        <v>88.328900000000004</v>
      </c>
      <c r="H760" s="15">
        <v>44978</v>
      </c>
      <c r="I760">
        <v>71</v>
      </c>
      <c r="J760">
        <v>20000</v>
      </c>
      <c r="K760" s="28">
        <v>5</v>
      </c>
      <c r="L760">
        <v>9.57</v>
      </c>
    </row>
    <row r="761" spans="1:12" ht="15" customHeight="1" x14ac:dyDescent="0.2">
      <c r="A761" s="28" t="s">
        <v>11</v>
      </c>
      <c r="B761" s="2" t="s">
        <v>29</v>
      </c>
      <c r="C761" s="30">
        <v>0.5</v>
      </c>
      <c r="D761" s="28">
        <f>YEAR(TableauFlitrage[[#This Row],[Date_d_adjudication]])</f>
        <v>2020</v>
      </c>
      <c r="E761" s="28">
        <f t="shared" si="12"/>
        <v>3</v>
      </c>
      <c r="F761" s="15">
        <v>43908.666666666664</v>
      </c>
      <c r="G761" s="28">
        <v>96.804670000000002</v>
      </c>
      <c r="H761" s="15">
        <v>44092</v>
      </c>
      <c r="I761">
        <v>102.64700000000001</v>
      </c>
      <c r="J761">
        <v>25500</v>
      </c>
      <c r="K761" s="28">
        <v>6.5</v>
      </c>
    </row>
    <row r="762" spans="1:12" ht="15" customHeight="1" x14ac:dyDescent="0.2">
      <c r="A762" s="28" t="s">
        <v>7</v>
      </c>
      <c r="B762" s="2" t="s">
        <v>29</v>
      </c>
      <c r="C762" s="30">
        <v>1</v>
      </c>
      <c r="D762" s="28">
        <f>YEAR(TableauFlitrage[[#This Row],[Date_d_adjudication]])</f>
        <v>2020</v>
      </c>
      <c r="E762" s="28">
        <f t="shared" si="12"/>
        <v>3</v>
      </c>
      <c r="F762" s="15">
        <v>43908.708333333336</v>
      </c>
      <c r="G762" s="28">
        <v>96.553910999999999</v>
      </c>
      <c r="H762" s="15">
        <v>44274</v>
      </c>
      <c r="I762">
        <v>85.18</v>
      </c>
      <c r="J762">
        <v>10000</v>
      </c>
      <c r="K762" s="28">
        <v>3.4081999999999999</v>
      </c>
    </row>
    <row r="763" spans="1:12" ht="15" customHeight="1" x14ac:dyDescent="0.2">
      <c r="A763" s="28" t="s">
        <v>9</v>
      </c>
      <c r="B763" s="2" t="s">
        <v>29</v>
      </c>
      <c r="C763" s="30">
        <v>1</v>
      </c>
      <c r="D763" s="28">
        <f>YEAR(TableauFlitrage[[#This Row],[Date_d_adjudication]])</f>
        <v>2020</v>
      </c>
      <c r="E763" s="28">
        <f t="shared" si="12"/>
        <v>3</v>
      </c>
      <c r="F763" s="15">
        <v>43915.5</v>
      </c>
      <c r="G763" s="28">
        <v>95.3095</v>
      </c>
      <c r="H763" s="15">
        <v>44281</v>
      </c>
      <c r="I763">
        <v>112</v>
      </c>
      <c r="J763">
        <v>10000</v>
      </c>
      <c r="K763" s="28">
        <v>4.6388999999999996</v>
      </c>
    </row>
    <row r="764" spans="1:12" ht="15" customHeight="1" x14ac:dyDescent="0.2">
      <c r="A764" s="28" t="s">
        <v>10</v>
      </c>
      <c r="B764" s="2" t="s">
        <v>29</v>
      </c>
      <c r="C764" s="30">
        <v>1</v>
      </c>
      <c r="D764" s="28">
        <f>YEAR(TableauFlitrage[[#This Row],[Date_d_adjudication]])</f>
        <v>2020</v>
      </c>
      <c r="E764" s="28">
        <f t="shared" si="12"/>
        <v>3</v>
      </c>
      <c r="F764" s="15">
        <v>43915.5</v>
      </c>
      <c r="G764" s="28">
        <v>91.887219000000002</v>
      </c>
      <c r="H764" s="15">
        <v>44281</v>
      </c>
      <c r="I764">
        <v>46.9467</v>
      </c>
      <c r="J764">
        <v>15000</v>
      </c>
      <c r="K764" s="28">
        <v>8.0236000000000001</v>
      </c>
    </row>
    <row r="765" spans="1:12" ht="15" customHeight="1" x14ac:dyDescent="0.2">
      <c r="A765" s="28" t="s">
        <v>14</v>
      </c>
      <c r="B765" s="2" t="s">
        <v>29</v>
      </c>
      <c r="C765" s="30">
        <v>0.5</v>
      </c>
      <c r="D765" s="28">
        <f>YEAR(TableauFlitrage[[#This Row],[Date_d_adjudication]])</f>
        <v>2020</v>
      </c>
      <c r="E765" s="28">
        <f t="shared" si="12"/>
        <v>3</v>
      </c>
      <c r="F765" s="15">
        <v>43915.583333333336</v>
      </c>
      <c r="G765" s="28">
        <v>97.253900000000002</v>
      </c>
      <c r="H765" s="15">
        <v>44099</v>
      </c>
      <c r="I765">
        <v>100</v>
      </c>
      <c r="J765">
        <v>5500</v>
      </c>
      <c r="K765" s="28">
        <v>5.4318</v>
      </c>
    </row>
    <row r="766" spans="1:12" ht="15" customHeight="1" x14ac:dyDescent="0.2">
      <c r="A766" s="28" t="s">
        <v>8</v>
      </c>
      <c r="B766" s="2" t="s">
        <v>29</v>
      </c>
      <c r="C766" s="30">
        <v>1</v>
      </c>
      <c r="D766" s="28">
        <f>YEAR(TableauFlitrage[[#This Row],[Date_d_adjudication]])</f>
        <v>2020</v>
      </c>
      <c r="E766" s="28">
        <f t="shared" si="12"/>
        <v>3</v>
      </c>
      <c r="F766" s="15">
        <v>43915.708333333336</v>
      </c>
      <c r="G766" s="28">
        <v>93.958600000000004</v>
      </c>
      <c r="H766" s="15">
        <v>44281</v>
      </c>
      <c r="I766">
        <v>125</v>
      </c>
      <c r="J766">
        <v>12000</v>
      </c>
      <c r="K766" s="28">
        <v>5.9749999999999996</v>
      </c>
    </row>
    <row r="767" spans="1:12" ht="15" customHeight="1" x14ac:dyDescent="0.2">
      <c r="A767" s="28" t="s">
        <v>8</v>
      </c>
      <c r="B767" s="2" t="s">
        <v>29</v>
      </c>
      <c r="C767" s="30">
        <v>1</v>
      </c>
      <c r="D767" s="28">
        <f>YEAR(TableauFlitrage[[#This Row],[Date_d_adjudication]])</f>
        <v>2020</v>
      </c>
      <c r="E767" s="28">
        <f t="shared" si="12"/>
        <v>4</v>
      </c>
      <c r="F767" s="15">
        <v>43922.5</v>
      </c>
      <c r="G767" s="28">
        <v>94.05</v>
      </c>
      <c r="H767" s="15">
        <v>44281</v>
      </c>
      <c r="I767">
        <v>100</v>
      </c>
      <c r="J767">
        <v>3000</v>
      </c>
      <c r="K767" s="28">
        <v>6</v>
      </c>
    </row>
    <row r="768" spans="1:12" ht="15" customHeight="1" x14ac:dyDescent="0.2">
      <c r="A768" s="28" t="s">
        <v>7</v>
      </c>
      <c r="B768" s="2" t="s">
        <v>29</v>
      </c>
      <c r="C768" s="30">
        <v>0.5</v>
      </c>
      <c r="D768" s="28">
        <f>YEAR(TableauFlitrage[[#This Row],[Date_d_adjudication]])</f>
        <v>2020</v>
      </c>
      <c r="E768" s="28">
        <f t="shared" si="12"/>
        <v>4</v>
      </c>
      <c r="F768" s="15">
        <v>43922.5</v>
      </c>
      <c r="G768" s="28">
        <v>98.75</v>
      </c>
      <c r="H768" s="15">
        <v>44106</v>
      </c>
      <c r="I768">
        <v>185.83</v>
      </c>
      <c r="J768">
        <v>10000</v>
      </c>
      <c r="K768" s="28">
        <v>2.46</v>
      </c>
    </row>
    <row r="769" spans="1:12" ht="15" customHeight="1" x14ac:dyDescent="0.2">
      <c r="A769" s="28" t="s">
        <v>9</v>
      </c>
      <c r="B769" s="2" t="s">
        <v>29</v>
      </c>
      <c r="C769" s="30">
        <v>0.25</v>
      </c>
      <c r="D769" s="28">
        <f>YEAR(TableauFlitrage[[#This Row],[Date_d_adjudication]])</f>
        <v>2020</v>
      </c>
      <c r="E769" s="28">
        <f t="shared" si="12"/>
        <v>4</v>
      </c>
      <c r="F769" s="15">
        <v>43922.5</v>
      </c>
      <c r="G769" s="28">
        <v>99</v>
      </c>
      <c r="H769" s="15">
        <v>44015</v>
      </c>
      <c r="I769">
        <v>197.5</v>
      </c>
      <c r="J769">
        <v>12000</v>
      </c>
      <c r="K769" s="28">
        <v>3.92</v>
      </c>
    </row>
    <row r="770" spans="1:12" ht="15" customHeight="1" x14ac:dyDescent="0.2">
      <c r="A770" s="28" t="s">
        <v>10</v>
      </c>
      <c r="B770" s="2" t="s">
        <v>29</v>
      </c>
      <c r="C770" s="30">
        <v>1</v>
      </c>
      <c r="D770" s="28">
        <f>YEAR(TableauFlitrage[[#This Row],[Date_d_adjudication]])</f>
        <v>2020</v>
      </c>
      <c r="E770" s="28">
        <f t="shared" si="12"/>
        <v>4</v>
      </c>
      <c r="F770" s="15">
        <v>43922.5</v>
      </c>
      <c r="G770" s="28">
        <v>90.99</v>
      </c>
      <c r="H770" s="15">
        <v>44288</v>
      </c>
      <c r="I770">
        <v>132</v>
      </c>
      <c r="J770">
        <v>15000</v>
      </c>
      <c r="K770" s="28">
        <v>8.9</v>
      </c>
    </row>
    <row r="771" spans="1:12" ht="15" customHeight="1" x14ac:dyDescent="0.2">
      <c r="A771" s="28" t="s">
        <v>7</v>
      </c>
      <c r="B771" t="s">
        <v>30</v>
      </c>
      <c r="C771" s="30" t="s">
        <v>55</v>
      </c>
      <c r="D771" s="28">
        <f>YEAR(TableauFlitrage[[#This Row],[Date_d_adjudication]])</f>
        <v>2020</v>
      </c>
      <c r="E771" s="28">
        <f t="shared" si="12"/>
        <v>4</v>
      </c>
      <c r="F771" s="15">
        <v>43929</v>
      </c>
      <c r="G771" s="28">
        <v>97.651200000000003</v>
      </c>
      <c r="H771" s="15">
        <v>45757</v>
      </c>
      <c r="I771">
        <v>75.637799999999999</v>
      </c>
      <c r="J771">
        <v>100000</v>
      </c>
      <c r="K771" s="28">
        <v>5.7</v>
      </c>
      <c r="L771">
        <v>5.7</v>
      </c>
    </row>
    <row r="772" spans="1:12" ht="15" customHeight="1" x14ac:dyDescent="0.2">
      <c r="A772" s="28" t="s">
        <v>8</v>
      </c>
      <c r="B772" t="s">
        <v>30</v>
      </c>
      <c r="C772" s="30" t="s">
        <v>53</v>
      </c>
      <c r="D772" s="28">
        <f>YEAR(TableauFlitrage[[#This Row],[Date_d_adjudication]])</f>
        <v>2020</v>
      </c>
      <c r="E772" s="28">
        <f t="shared" si="12"/>
        <v>4</v>
      </c>
      <c r="F772" s="15">
        <v>43929</v>
      </c>
      <c r="G772" s="28">
        <v>92.333299999999994</v>
      </c>
      <c r="H772" s="15">
        <v>44661</v>
      </c>
      <c r="I772">
        <v>115.36669999999999</v>
      </c>
      <c r="J772">
        <v>15000</v>
      </c>
      <c r="K772" s="28">
        <v>6</v>
      </c>
      <c r="L772">
        <v>10.34</v>
      </c>
    </row>
    <row r="773" spans="1:12" ht="15" customHeight="1" x14ac:dyDescent="0.2">
      <c r="A773" s="28" t="s">
        <v>9</v>
      </c>
      <c r="B773" s="2" t="s">
        <v>29</v>
      </c>
      <c r="C773" s="30">
        <v>0.25</v>
      </c>
      <c r="D773" s="28">
        <f>YEAR(TableauFlitrage[[#This Row],[Date_d_adjudication]])</f>
        <v>2020</v>
      </c>
      <c r="E773" s="28">
        <f t="shared" si="12"/>
        <v>4</v>
      </c>
      <c r="F773" s="15">
        <v>43929.5</v>
      </c>
      <c r="G773" s="28">
        <v>98.94</v>
      </c>
      <c r="H773" s="15">
        <v>44022</v>
      </c>
      <c r="I773">
        <v>116.1379</v>
      </c>
      <c r="J773">
        <v>14500</v>
      </c>
      <c r="K773" s="28">
        <v>4.18</v>
      </c>
    </row>
    <row r="774" spans="1:12" ht="15" customHeight="1" x14ac:dyDescent="0.2">
      <c r="A774" s="28" t="s">
        <v>7</v>
      </c>
      <c r="B774" t="s">
        <v>30</v>
      </c>
      <c r="C774" s="30" t="s">
        <v>54</v>
      </c>
      <c r="D774" s="28">
        <f>YEAR(TableauFlitrage[[#This Row],[Date_d_adjudication]])</f>
        <v>2020</v>
      </c>
      <c r="E774" s="28">
        <f t="shared" si="12"/>
        <v>4</v>
      </c>
      <c r="F774" s="15">
        <v>43936</v>
      </c>
      <c r="G774" s="28">
        <v>96.424300000000002</v>
      </c>
      <c r="H774" s="15">
        <v>45033</v>
      </c>
      <c r="I774">
        <v>52.9236</v>
      </c>
      <c r="J774">
        <v>70000</v>
      </c>
      <c r="K774" s="28">
        <v>4</v>
      </c>
      <c r="L774">
        <v>5.31</v>
      </c>
    </row>
    <row r="775" spans="1:12" ht="15" customHeight="1" x14ac:dyDescent="0.2">
      <c r="A775" s="28" t="s">
        <v>9</v>
      </c>
      <c r="B775" t="s">
        <v>30</v>
      </c>
      <c r="C775" s="30" t="s">
        <v>53</v>
      </c>
      <c r="D775" s="28">
        <f>YEAR(TableauFlitrage[[#This Row],[Date_d_adjudication]])</f>
        <v>2020</v>
      </c>
      <c r="E775" s="28">
        <f t="shared" si="12"/>
        <v>4</v>
      </c>
      <c r="F775" s="15">
        <v>43936</v>
      </c>
      <c r="G775" s="28">
        <v>92.913700000000006</v>
      </c>
      <c r="H775" s="15">
        <v>44592</v>
      </c>
      <c r="I775">
        <v>67.150000000000006</v>
      </c>
      <c r="J775">
        <v>20000</v>
      </c>
      <c r="K775" s="28">
        <v>4.75</v>
      </c>
      <c r="L775">
        <v>8.69</v>
      </c>
    </row>
    <row r="776" spans="1:12" ht="15" customHeight="1" x14ac:dyDescent="0.2">
      <c r="A776" s="28" t="s">
        <v>9</v>
      </c>
      <c r="B776" t="s">
        <v>30</v>
      </c>
      <c r="C776" s="30" t="s">
        <v>56</v>
      </c>
      <c r="D776" s="28">
        <f>YEAR(TableauFlitrage[[#This Row],[Date_d_adjudication]])</f>
        <v>2020</v>
      </c>
      <c r="E776" s="28">
        <f t="shared" si="12"/>
        <v>4</v>
      </c>
      <c r="F776" s="15">
        <v>43936</v>
      </c>
      <c r="G776" s="28">
        <v>99.480199999999996</v>
      </c>
      <c r="H776" s="15">
        <v>45371</v>
      </c>
      <c r="I776">
        <v>3.8067000000000002</v>
      </c>
      <c r="J776">
        <v>15000</v>
      </c>
      <c r="K776" s="28">
        <v>6.5</v>
      </c>
      <c r="L776">
        <v>6.65</v>
      </c>
    </row>
    <row r="777" spans="1:12" ht="15" customHeight="1" x14ac:dyDescent="0.2">
      <c r="A777" s="28" t="s">
        <v>8</v>
      </c>
      <c r="B777" s="2" t="s">
        <v>29</v>
      </c>
      <c r="C777" s="30">
        <v>1</v>
      </c>
      <c r="D777" s="28">
        <f>YEAR(TableauFlitrage[[#This Row],[Date_d_adjudication]])</f>
        <v>2020</v>
      </c>
      <c r="E777" s="28">
        <f t="shared" si="12"/>
        <v>4</v>
      </c>
      <c r="F777" s="15">
        <v>43936.5</v>
      </c>
      <c r="G777" s="28">
        <v>93.94</v>
      </c>
      <c r="H777" s="15">
        <v>44302</v>
      </c>
      <c r="I777">
        <v>20.6</v>
      </c>
      <c r="J777">
        <v>10000</v>
      </c>
      <c r="K777" s="28">
        <v>5.98</v>
      </c>
    </row>
    <row r="778" spans="1:12" ht="15" customHeight="1" x14ac:dyDescent="0.2">
      <c r="A778" s="28" t="s">
        <v>9</v>
      </c>
      <c r="B778" s="2" t="s">
        <v>29</v>
      </c>
      <c r="C778" s="30">
        <v>0.5</v>
      </c>
      <c r="D778" s="28">
        <f>YEAR(TableauFlitrage[[#This Row],[Date_d_adjudication]])</f>
        <v>2020</v>
      </c>
      <c r="E778" s="28">
        <f t="shared" si="12"/>
        <v>4</v>
      </c>
      <c r="F778" s="15">
        <v>43936.5</v>
      </c>
      <c r="G778" s="28">
        <v>97.54</v>
      </c>
      <c r="H778" s="15">
        <v>44120</v>
      </c>
      <c r="I778">
        <v>98.5</v>
      </c>
      <c r="J778">
        <v>15000</v>
      </c>
      <c r="K778" s="28">
        <v>4.84</v>
      </c>
    </row>
    <row r="779" spans="1:12" ht="15" customHeight="1" x14ac:dyDescent="0.2">
      <c r="A779" s="28" t="s">
        <v>10</v>
      </c>
      <c r="B779" s="2" t="s">
        <v>29</v>
      </c>
      <c r="C779" s="30">
        <v>1</v>
      </c>
      <c r="D779" s="28">
        <f>YEAR(TableauFlitrage[[#This Row],[Date_d_adjudication]])</f>
        <v>2020</v>
      </c>
      <c r="E779" s="28">
        <f t="shared" si="12"/>
        <v>4</v>
      </c>
      <c r="F779" s="15">
        <v>43936.5</v>
      </c>
      <c r="G779" s="28">
        <v>91.97</v>
      </c>
      <c r="H779" s="15">
        <v>44302</v>
      </c>
      <c r="I779">
        <v>80.66</v>
      </c>
      <c r="J779">
        <v>15000</v>
      </c>
      <c r="K779" s="28">
        <v>7.93</v>
      </c>
    </row>
    <row r="780" spans="1:12" ht="15" customHeight="1" x14ac:dyDescent="0.2">
      <c r="A780" s="28" t="s">
        <v>11</v>
      </c>
      <c r="B780" s="2" t="s">
        <v>29</v>
      </c>
      <c r="C780" s="30">
        <v>0.5</v>
      </c>
      <c r="D780" s="28">
        <f>YEAR(TableauFlitrage[[#This Row],[Date_d_adjudication]])</f>
        <v>2020</v>
      </c>
      <c r="E780" s="28">
        <f t="shared" si="12"/>
        <v>4</v>
      </c>
      <c r="F780" s="15">
        <v>43936.5</v>
      </c>
      <c r="G780" s="28">
        <v>96.92</v>
      </c>
      <c r="H780" s="15">
        <v>44120</v>
      </c>
      <c r="I780">
        <v>153.68709999999999</v>
      </c>
      <c r="J780">
        <v>11120</v>
      </c>
      <c r="K780" s="28">
        <v>6.08</v>
      </c>
    </row>
    <row r="781" spans="1:12" ht="15" customHeight="1" x14ac:dyDescent="0.2">
      <c r="A781" s="28" t="s">
        <v>9</v>
      </c>
      <c r="B781" s="2" t="s">
        <v>29</v>
      </c>
      <c r="C781" s="30">
        <v>0.25</v>
      </c>
      <c r="D781" s="28">
        <f>YEAR(TableauFlitrage[[#This Row],[Date_d_adjudication]])</f>
        <v>2020</v>
      </c>
      <c r="E781" s="28">
        <f t="shared" si="12"/>
        <v>4</v>
      </c>
      <c r="F781" s="15">
        <v>43943.5</v>
      </c>
      <c r="G781" s="28">
        <v>98.78</v>
      </c>
      <c r="H781" s="15">
        <v>44036</v>
      </c>
      <c r="I781">
        <v>93.013300000000001</v>
      </c>
      <c r="J781">
        <v>15000</v>
      </c>
      <c r="K781" s="28">
        <v>4.8099999999999996</v>
      </c>
    </row>
    <row r="782" spans="1:12" ht="15" customHeight="1" x14ac:dyDescent="0.2">
      <c r="A782" s="28" t="s">
        <v>7</v>
      </c>
      <c r="B782" t="s">
        <v>30</v>
      </c>
      <c r="C782" s="30" t="s">
        <v>53</v>
      </c>
      <c r="D782" s="28">
        <f>YEAR(TableauFlitrage[[#This Row],[Date_d_adjudication]])</f>
        <v>2020</v>
      </c>
      <c r="E782" s="28">
        <f t="shared" si="12"/>
        <v>4</v>
      </c>
      <c r="F782" s="15">
        <v>43950</v>
      </c>
      <c r="G782" s="28">
        <v>97.378799999999998</v>
      </c>
      <c r="H782" s="15">
        <v>44682</v>
      </c>
      <c r="I782">
        <v>86.739800000000002</v>
      </c>
      <c r="J782">
        <v>50000</v>
      </c>
      <c r="K782" s="28">
        <v>3.5</v>
      </c>
      <c r="L782">
        <v>4.8899999999999997</v>
      </c>
    </row>
    <row r="783" spans="1:12" ht="15" customHeight="1" x14ac:dyDescent="0.2">
      <c r="A783" s="28" t="s">
        <v>9</v>
      </c>
      <c r="B783" t="s">
        <v>30</v>
      </c>
      <c r="C783" s="30" t="s">
        <v>53</v>
      </c>
      <c r="D783" s="28">
        <f>YEAR(TableauFlitrage[[#This Row],[Date_d_adjudication]])</f>
        <v>2020</v>
      </c>
      <c r="E783" s="28">
        <f t="shared" si="12"/>
        <v>4</v>
      </c>
      <c r="F783" s="15">
        <v>43950</v>
      </c>
      <c r="G783" s="28">
        <v>93.180999999999997</v>
      </c>
      <c r="H783" s="15">
        <v>44592</v>
      </c>
      <c r="I783">
        <v>128.57140000000001</v>
      </c>
      <c r="J783">
        <v>7000</v>
      </c>
      <c r="K783" s="28">
        <v>4.75</v>
      </c>
      <c r="L783">
        <v>8.5299999999999994</v>
      </c>
    </row>
    <row r="784" spans="1:12" ht="15" customHeight="1" x14ac:dyDescent="0.2">
      <c r="A784" s="28" t="s">
        <v>9</v>
      </c>
      <c r="B784" t="s">
        <v>30</v>
      </c>
      <c r="C784" s="30" t="s">
        <v>56</v>
      </c>
      <c r="D784" s="28">
        <f>YEAR(TableauFlitrage[[#This Row],[Date_d_adjudication]])</f>
        <v>2020</v>
      </c>
      <c r="E784" s="28">
        <f t="shared" si="12"/>
        <v>4</v>
      </c>
      <c r="F784" s="15">
        <v>43950</v>
      </c>
      <c r="G784" s="28">
        <v>93.890799999999999</v>
      </c>
      <c r="H784" s="15">
        <v>45371</v>
      </c>
      <c r="I784">
        <v>7</v>
      </c>
      <c r="J784">
        <v>15000</v>
      </c>
      <c r="K784" s="28">
        <v>6.5</v>
      </c>
      <c r="L784">
        <v>8.33</v>
      </c>
    </row>
    <row r="785" spans="1:12" ht="15" customHeight="1" x14ac:dyDescent="0.2">
      <c r="A785" s="28" t="s">
        <v>8</v>
      </c>
      <c r="B785" t="s">
        <v>30</v>
      </c>
      <c r="C785" s="30" t="s">
        <v>53</v>
      </c>
      <c r="D785" s="28">
        <f>YEAR(TableauFlitrage[[#This Row],[Date_d_adjudication]])</f>
        <v>2020</v>
      </c>
      <c r="E785" s="28">
        <f t="shared" si="12"/>
        <v>4</v>
      </c>
      <c r="F785" s="15">
        <v>43950</v>
      </c>
      <c r="G785" s="28">
        <v>91.664400000000001</v>
      </c>
      <c r="H785" s="15">
        <v>44682</v>
      </c>
      <c r="I785">
        <v>48.86</v>
      </c>
      <c r="J785">
        <v>35000</v>
      </c>
      <c r="K785" s="28">
        <v>6</v>
      </c>
      <c r="L785">
        <v>10.74</v>
      </c>
    </row>
    <row r="786" spans="1:12" ht="15" customHeight="1" x14ac:dyDescent="0.2">
      <c r="A786" s="28" t="s">
        <v>9</v>
      </c>
      <c r="B786" s="2" t="s">
        <v>29</v>
      </c>
      <c r="C786" s="30">
        <v>0.25</v>
      </c>
      <c r="D786" s="28">
        <f>YEAR(TableauFlitrage[[#This Row],[Date_d_adjudication]])</f>
        <v>2020</v>
      </c>
      <c r="E786" s="28">
        <f t="shared" si="12"/>
        <v>4</v>
      </c>
      <c r="F786" s="15">
        <v>43950.5</v>
      </c>
      <c r="G786" s="28">
        <v>98.82</v>
      </c>
      <c r="H786" s="15">
        <v>44043</v>
      </c>
      <c r="I786">
        <v>174.9333</v>
      </c>
      <c r="J786">
        <v>15000</v>
      </c>
      <c r="K786" s="28">
        <v>4.62</v>
      </c>
    </row>
    <row r="787" spans="1:12" ht="15" customHeight="1" x14ac:dyDescent="0.2">
      <c r="A787" s="28" t="s">
        <v>8</v>
      </c>
      <c r="B787" t="s">
        <v>30</v>
      </c>
      <c r="C787" s="30" t="s">
        <v>53</v>
      </c>
      <c r="D787" s="28">
        <f>YEAR(TableauFlitrage[[#This Row],[Date_d_adjudication]])</f>
        <v>2020</v>
      </c>
      <c r="E787" s="28">
        <f t="shared" si="12"/>
        <v>5</v>
      </c>
      <c r="F787" s="15">
        <v>43957</v>
      </c>
      <c r="G787" s="28">
        <v>92.115099999999998</v>
      </c>
      <c r="H787" s="15">
        <v>44682</v>
      </c>
      <c r="I787">
        <v>66.666700000000006</v>
      </c>
      <c r="J787">
        <v>15000</v>
      </c>
      <c r="K787" s="28">
        <v>6</v>
      </c>
      <c r="L787">
        <v>10.47</v>
      </c>
    </row>
    <row r="788" spans="1:12" ht="15" customHeight="1" x14ac:dyDescent="0.2">
      <c r="A788" s="28" t="s">
        <v>7</v>
      </c>
      <c r="B788" t="s">
        <v>30</v>
      </c>
      <c r="C788" s="30" t="s">
        <v>61</v>
      </c>
      <c r="D788" s="28">
        <f>YEAR(TableauFlitrage[[#This Row],[Date_d_adjudication]])</f>
        <v>2020</v>
      </c>
      <c r="E788" s="28">
        <f t="shared" si="12"/>
        <v>5</v>
      </c>
      <c r="F788" s="15">
        <v>43957</v>
      </c>
      <c r="G788" s="28">
        <v>99.54</v>
      </c>
      <c r="H788" s="15">
        <v>47611</v>
      </c>
      <c r="I788">
        <v>106.86</v>
      </c>
      <c r="J788">
        <v>25000</v>
      </c>
      <c r="K788" s="28">
        <v>7</v>
      </c>
      <c r="L788">
        <v>7.07</v>
      </c>
    </row>
    <row r="789" spans="1:12" ht="15" customHeight="1" x14ac:dyDescent="0.2">
      <c r="A789" s="28" t="s">
        <v>7</v>
      </c>
      <c r="B789" s="2" t="s">
        <v>29</v>
      </c>
      <c r="C789" s="30">
        <v>0.5</v>
      </c>
      <c r="D789" s="28">
        <f>YEAR(TableauFlitrage[[#This Row],[Date_d_adjudication]])</f>
        <v>2020</v>
      </c>
      <c r="E789" s="28">
        <f t="shared" si="12"/>
        <v>5</v>
      </c>
      <c r="F789" s="15">
        <v>43957.5</v>
      </c>
      <c r="G789" s="28">
        <v>98.67</v>
      </c>
      <c r="H789" s="15">
        <v>44141</v>
      </c>
      <c r="I789">
        <v>174.5</v>
      </c>
      <c r="J789">
        <v>20000</v>
      </c>
      <c r="K789" s="28">
        <v>2.62</v>
      </c>
    </row>
    <row r="790" spans="1:12" ht="15" customHeight="1" x14ac:dyDescent="0.2">
      <c r="A790" s="28" t="s">
        <v>10</v>
      </c>
      <c r="B790" s="2" t="s">
        <v>29</v>
      </c>
      <c r="C790" s="30">
        <v>1</v>
      </c>
      <c r="D790" s="28">
        <f>YEAR(TableauFlitrage[[#This Row],[Date_d_adjudication]])</f>
        <v>2020</v>
      </c>
      <c r="E790" s="28">
        <f t="shared" si="12"/>
        <v>5</v>
      </c>
      <c r="F790" s="15">
        <v>43957.5</v>
      </c>
      <c r="G790" s="28">
        <v>91.91</v>
      </c>
      <c r="H790" s="15">
        <v>44323</v>
      </c>
      <c r="I790">
        <v>104.66670000000001</v>
      </c>
      <c r="J790">
        <v>15000</v>
      </c>
      <c r="K790" s="28">
        <v>7.99</v>
      </c>
    </row>
    <row r="791" spans="1:12" ht="15" customHeight="1" x14ac:dyDescent="0.2">
      <c r="A791" s="28" t="s">
        <v>7</v>
      </c>
      <c r="B791" s="2" t="s">
        <v>29</v>
      </c>
      <c r="C791" s="30">
        <v>0.5</v>
      </c>
      <c r="D791" s="28">
        <f>YEAR(TableauFlitrage[[#This Row],[Date_d_adjudication]])</f>
        <v>2020</v>
      </c>
      <c r="E791" s="28">
        <f t="shared" si="12"/>
        <v>5</v>
      </c>
      <c r="F791" s="15">
        <v>43964.5</v>
      </c>
      <c r="G791" s="28">
        <v>98.64</v>
      </c>
      <c r="H791" s="15">
        <v>44148</v>
      </c>
      <c r="I791">
        <v>125</v>
      </c>
      <c r="J791">
        <v>20000</v>
      </c>
      <c r="K791" s="28">
        <v>2.68</v>
      </c>
    </row>
    <row r="792" spans="1:12" ht="15" customHeight="1" x14ac:dyDescent="0.2">
      <c r="A792" s="28" t="s">
        <v>9</v>
      </c>
      <c r="B792" s="2" t="s">
        <v>29</v>
      </c>
      <c r="C792" s="30">
        <v>1</v>
      </c>
      <c r="D792" s="28">
        <f>YEAR(TableauFlitrage[[#This Row],[Date_d_adjudication]])</f>
        <v>2020</v>
      </c>
      <c r="E792" s="28">
        <f t="shared" si="12"/>
        <v>5</v>
      </c>
      <c r="F792" s="15">
        <v>43964.5</v>
      </c>
      <c r="G792" s="28">
        <v>97.62</v>
      </c>
      <c r="H792" s="15">
        <v>44148</v>
      </c>
      <c r="I792">
        <v>213.32140000000001</v>
      </c>
      <c r="J792">
        <v>14000</v>
      </c>
      <c r="K792" s="28">
        <v>4.6900000000000004</v>
      </c>
    </row>
    <row r="793" spans="1:12" ht="15" customHeight="1" x14ac:dyDescent="0.2">
      <c r="A793" s="28" t="s">
        <v>11</v>
      </c>
      <c r="B793" s="2" t="s">
        <v>29</v>
      </c>
      <c r="C793" s="30">
        <v>0.5</v>
      </c>
      <c r="D793" s="28">
        <f>YEAR(TableauFlitrage[[#This Row],[Date_d_adjudication]])</f>
        <v>2020</v>
      </c>
      <c r="E793" s="28">
        <f t="shared" si="12"/>
        <v>5</v>
      </c>
      <c r="F793" s="15">
        <v>43964.5</v>
      </c>
      <c r="G793" s="28">
        <v>96.89</v>
      </c>
      <c r="H793" s="15">
        <v>44148</v>
      </c>
      <c r="I793">
        <v>107.53360000000001</v>
      </c>
      <c r="J793">
        <v>18225</v>
      </c>
      <c r="K793" s="28">
        <v>6.14</v>
      </c>
    </row>
    <row r="794" spans="1:12" ht="15" customHeight="1" x14ac:dyDescent="0.2">
      <c r="A794" s="28" t="s">
        <v>9</v>
      </c>
      <c r="B794" t="s">
        <v>30</v>
      </c>
      <c r="C794" s="30" t="s">
        <v>53</v>
      </c>
      <c r="D794" s="28">
        <f>YEAR(TableauFlitrage[[#This Row],[Date_d_adjudication]])</f>
        <v>2020</v>
      </c>
      <c r="E794" s="28">
        <f t="shared" si="12"/>
        <v>5</v>
      </c>
      <c r="F794" s="15">
        <v>43971</v>
      </c>
      <c r="G794" s="28">
        <v>93.026300000000006</v>
      </c>
      <c r="H794" s="15">
        <v>44703</v>
      </c>
      <c r="I794">
        <v>54.285699999999999</v>
      </c>
      <c r="J794">
        <v>17500</v>
      </c>
      <c r="K794" s="28">
        <v>4.75</v>
      </c>
      <c r="L794">
        <v>8.6199999999999992</v>
      </c>
    </row>
    <row r="795" spans="1:12" ht="15" customHeight="1" x14ac:dyDescent="0.2">
      <c r="A795" s="28" t="s">
        <v>9</v>
      </c>
      <c r="B795" t="s">
        <v>30</v>
      </c>
      <c r="C795" s="30" t="s">
        <v>54</v>
      </c>
      <c r="D795" s="28">
        <f>YEAR(TableauFlitrage[[#This Row],[Date_d_adjudication]])</f>
        <v>2020</v>
      </c>
      <c r="E795" s="28">
        <f t="shared" si="12"/>
        <v>5</v>
      </c>
      <c r="F795" s="15">
        <v>43971</v>
      </c>
      <c r="G795" s="28">
        <v>92.3</v>
      </c>
      <c r="H795" s="15">
        <v>45068</v>
      </c>
      <c r="I795">
        <v>36.363599999999998</v>
      </c>
      <c r="J795">
        <v>27500</v>
      </c>
      <c r="K795" s="28">
        <v>5.5</v>
      </c>
      <c r="L795">
        <v>8.4600000000000009</v>
      </c>
    </row>
    <row r="796" spans="1:12" ht="12.75" customHeight="1" x14ac:dyDescent="0.2">
      <c r="A796" s="28" t="s">
        <v>19</v>
      </c>
      <c r="B796" s="2" t="s">
        <v>29</v>
      </c>
      <c r="C796" s="30">
        <v>0.5</v>
      </c>
      <c r="D796" s="28">
        <f>YEAR(TableauFlitrage[[#This Row],[Date_d_adjudication]])</f>
        <v>2020</v>
      </c>
      <c r="E796" s="28">
        <f t="shared" si="12"/>
        <v>5</v>
      </c>
      <c r="F796" s="15">
        <v>43971.5</v>
      </c>
      <c r="G796" s="28">
        <v>97.34</v>
      </c>
      <c r="H796" s="15">
        <v>44155</v>
      </c>
      <c r="I796">
        <v>100</v>
      </c>
      <c r="J796">
        <v>4000</v>
      </c>
      <c r="K796" s="28">
        <v>5.25</v>
      </c>
    </row>
    <row r="797" spans="1:12" ht="12.75" customHeight="1" x14ac:dyDescent="0.2">
      <c r="A797" s="28" t="s">
        <v>8</v>
      </c>
      <c r="B797" s="2" t="s">
        <v>29</v>
      </c>
      <c r="C797" s="30">
        <v>0.5</v>
      </c>
      <c r="D797" s="28">
        <f>YEAR(TableauFlitrage[[#This Row],[Date_d_adjudication]])</f>
        <v>2020</v>
      </c>
      <c r="E797" s="28">
        <f t="shared" si="12"/>
        <v>5</v>
      </c>
      <c r="F797" s="15">
        <v>43971.5</v>
      </c>
      <c r="G797" s="28">
        <v>96.96</v>
      </c>
      <c r="H797" s="15">
        <v>44155</v>
      </c>
      <c r="I797">
        <v>162</v>
      </c>
      <c r="J797">
        <v>10000</v>
      </c>
      <c r="K797" s="28">
        <v>6</v>
      </c>
    </row>
    <row r="798" spans="1:12" ht="12.75" customHeight="1" x14ac:dyDescent="0.2">
      <c r="A798" s="28" t="s">
        <v>9</v>
      </c>
      <c r="B798" s="2" t="s">
        <v>29</v>
      </c>
      <c r="C798" s="30">
        <v>0.25</v>
      </c>
      <c r="D798" s="28">
        <f>YEAR(TableauFlitrage[[#This Row],[Date_d_adjudication]])</f>
        <v>2020</v>
      </c>
      <c r="E798" s="28">
        <f t="shared" si="12"/>
        <v>5</v>
      </c>
      <c r="F798" s="15">
        <v>43971.5</v>
      </c>
      <c r="G798" s="28">
        <v>98.79</v>
      </c>
      <c r="H798" s="15">
        <v>44064</v>
      </c>
      <c r="I798">
        <v>210</v>
      </c>
      <c r="J798">
        <v>15000</v>
      </c>
      <c r="K798" s="28">
        <v>4.7699999999999996</v>
      </c>
    </row>
    <row r="799" spans="1:12" ht="12.75" customHeight="1" x14ac:dyDescent="0.2">
      <c r="A799" s="28" t="s">
        <v>11</v>
      </c>
      <c r="B799" s="2" t="s">
        <v>29</v>
      </c>
      <c r="C799" s="30">
        <v>0.5</v>
      </c>
      <c r="D799" s="28">
        <f>YEAR(TableauFlitrage[[#This Row],[Date_d_adjudication]])</f>
        <v>2020</v>
      </c>
      <c r="E799" s="28">
        <f t="shared" si="12"/>
        <v>5</v>
      </c>
      <c r="F799" s="15">
        <v>43971.5</v>
      </c>
      <c r="G799" s="28">
        <v>96.77</v>
      </c>
      <c r="H799" s="15">
        <v>44155</v>
      </c>
      <c r="I799">
        <v>100</v>
      </c>
      <c r="J799">
        <v>15893</v>
      </c>
      <c r="K799" s="28">
        <v>6.37</v>
      </c>
    </row>
    <row r="800" spans="1:12" ht="12.75" customHeight="1" x14ac:dyDescent="0.2">
      <c r="A800" s="28" t="s">
        <v>7</v>
      </c>
      <c r="B800" t="s">
        <v>30</v>
      </c>
      <c r="C800" s="30" t="s">
        <v>55</v>
      </c>
      <c r="D800" s="28">
        <f>YEAR(TableauFlitrage[[#This Row],[Date_d_adjudication]])</f>
        <v>2020</v>
      </c>
      <c r="E800" s="28">
        <f t="shared" si="12"/>
        <v>5</v>
      </c>
      <c r="F800" s="15">
        <v>43978</v>
      </c>
      <c r="G800" s="28">
        <v>99.468100000000007</v>
      </c>
      <c r="H800" s="15">
        <v>45757</v>
      </c>
      <c r="I800">
        <v>157.48859999999999</v>
      </c>
      <c r="J800">
        <v>35000</v>
      </c>
      <c r="K800" s="28">
        <v>5.7</v>
      </c>
      <c r="L800">
        <v>5.82</v>
      </c>
    </row>
    <row r="801" spans="1:12" ht="15" customHeight="1" x14ac:dyDescent="0.2">
      <c r="A801" s="28" t="s">
        <v>9</v>
      </c>
      <c r="B801" s="2" t="s">
        <v>29</v>
      </c>
      <c r="C801" s="30">
        <v>0.25</v>
      </c>
      <c r="D801" s="28">
        <f>YEAR(TableauFlitrage[[#This Row],[Date_d_adjudication]])</f>
        <v>2020</v>
      </c>
      <c r="E801" s="28">
        <f t="shared" si="12"/>
        <v>5</v>
      </c>
      <c r="F801" s="15">
        <v>43978.5</v>
      </c>
      <c r="G801" s="28">
        <v>98.8</v>
      </c>
      <c r="H801" s="15">
        <v>44071</v>
      </c>
      <c r="I801">
        <v>280.68970000000002</v>
      </c>
      <c r="J801">
        <v>14500</v>
      </c>
      <c r="K801" s="28">
        <v>4.74</v>
      </c>
    </row>
    <row r="802" spans="1:12" ht="15" customHeight="1" x14ac:dyDescent="0.2">
      <c r="A802" s="28" t="s">
        <v>9</v>
      </c>
      <c r="B802" t="s">
        <v>30</v>
      </c>
      <c r="C802" s="30" t="s">
        <v>54</v>
      </c>
      <c r="D802" s="28">
        <f>YEAR(TableauFlitrage[[#This Row],[Date_d_adjudication]])</f>
        <v>2020</v>
      </c>
      <c r="E802" s="28">
        <f t="shared" si="12"/>
        <v>6</v>
      </c>
      <c r="F802" s="15">
        <v>43985</v>
      </c>
      <c r="G802" s="28">
        <v>90.56</v>
      </c>
      <c r="H802" s="15">
        <v>45068</v>
      </c>
      <c r="I802">
        <v>53.51</v>
      </c>
      <c r="J802">
        <v>22500</v>
      </c>
      <c r="K802" s="28">
        <v>5.5</v>
      </c>
      <c r="L802">
        <v>9.17</v>
      </c>
    </row>
    <row r="803" spans="1:12" ht="15" customHeight="1" x14ac:dyDescent="0.2">
      <c r="A803" s="28" t="s">
        <v>9</v>
      </c>
      <c r="B803" t="s">
        <v>30</v>
      </c>
      <c r="C803" s="30" t="s">
        <v>53</v>
      </c>
      <c r="D803" s="28">
        <f>YEAR(TableauFlitrage[[#This Row],[Date_d_adjudication]])</f>
        <v>2020</v>
      </c>
      <c r="E803" s="28">
        <f t="shared" si="12"/>
        <v>6</v>
      </c>
      <c r="F803" s="15">
        <v>43985</v>
      </c>
      <c r="G803" s="28">
        <v>97.36</v>
      </c>
      <c r="H803" s="15">
        <v>44703</v>
      </c>
      <c r="I803">
        <v>80.989999999999995</v>
      </c>
      <c r="J803">
        <v>20000</v>
      </c>
      <c r="K803" s="28">
        <v>4.75</v>
      </c>
      <c r="L803">
        <v>6.17</v>
      </c>
    </row>
    <row r="804" spans="1:12" ht="15" customHeight="1" x14ac:dyDescent="0.2">
      <c r="A804" s="28" t="s">
        <v>7</v>
      </c>
      <c r="B804" s="2" t="s">
        <v>29</v>
      </c>
      <c r="C804" s="30">
        <v>1</v>
      </c>
      <c r="D804" s="28">
        <f>YEAR(TableauFlitrage[[#This Row],[Date_d_adjudication]])</f>
        <v>2020</v>
      </c>
      <c r="E804" s="28">
        <f t="shared" si="12"/>
        <v>6</v>
      </c>
      <c r="F804" s="15">
        <v>43985.5</v>
      </c>
      <c r="G804" s="28">
        <v>96.44</v>
      </c>
      <c r="H804" s="15">
        <v>44351</v>
      </c>
      <c r="I804">
        <v>98</v>
      </c>
      <c r="J804">
        <v>20000</v>
      </c>
      <c r="K804" s="28">
        <v>3.51</v>
      </c>
    </row>
    <row r="805" spans="1:12" ht="15" customHeight="1" x14ac:dyDescent="0.2">
      <c r="A805" s="28" t="s">
        <v>11</v>
      </c>
      <c r="B805" s="2" t="s">
        <v>29</v>
      </c>
      <c r="C805" s="30">
        <v>0.5</v>
      </c>
      <c r="D805" s="28">
        <f>YEAR(TableauFlitrage[[#This Row],[Date_d_adjudication]])</f>
        <v>2020</v>
      </c>
      <c r="E805" s="28">
        <f t="shared" si="12"/>
        <v>6</v>
      </c>
      <c r="F805" s="15">
        <v>43985.5</v>
      </c>
      <c r="G805" s="28">
        <v>96.91</v>
      </c>
      <c r="H805" s="15">
        <v>44169</v>
      </c>
      <c r="I805">
        <v>100</v>
      </c>
      <c r="J805">
        <v>22780</v>
      </c>
      <c r="K805" s="28">
        <v>6.1</v>
      </c>
    </row>
    <row r="806" spans="1:12" ht="15" customHeight="1" x14ac:dyDescent="0.2">
      <c r="A806" s="28" t="s">
        <v>9</v>
      </c>
      <c r="B806" s="2" t="s">
        <v>29</v>
      </c>
      <c r="C806" s="30">
        <v>1</v>
      </c>
      <c r="D806" s="28">
        <f>YEAR(TableauFlitrage[[#This Row],[Date_d_adjudication]])</f>
        <v>2020</v>
      </c>
      <c r="E806" s="28">
        <f t="shared" si="12"/>
        <v>6</v>
      </c>
      <c r="F806" s="15">
        <v>43985.5</v>
      </c>
      <c r="G806" s="28">
        <v>95.3</v>
      </c>
      <c r="H806" s="15">
        <v>44351</v>
      </c>
      <c r="I806">
        <v>216.66</v>
      </c>
      <c r="J806">
        <v>12000</v>
      </c>
      <c r="K806" s="28">
        <v>4.6399999999999997</v>
      </c>
    </row>
    <row r="807" spans="1:12" ht="15" customHeight="1" x14ac:dyDescent="0.2">
      <c r="A807" s="28" t="s">
        <v>9</v>
      </c>
      <c r="B807" s="2" t="s">
        <v>29</v>
      </c>
      <c r="C807" s="30">
        <v>0.5</v>
      </c>
      <c r="D807" s="28">
        <f>YEAR(TableauFlitrage[[#This Row],[Date_d_adjudication]])</f>
        <v>2020</v>
      </c>
      <c r="E807" s="28">
        <f t="shared" si="12"/>
        <v>6</v>
      </c>
      <c r="F807" s="15">
        <v>43992.5</v>
      </c>
      <c r="G807" s="28">
        <v>97.73</v>
      </c>
      <c r="H807" s="15">
        <v>44176</v>
      </c>
      <c r="I807">
        <v>220.22</v>
      </c>
      <c r="J807">
        <v>14500</v>
      </c>
      <c r="K807" s="28">
        <v>4.4800000000000004</v>
      </c>
    </row>
    <row r="808" spans="1:12" ht="15" customHeight="1" x14ac:dyDescent="0.2">
      <c r="A808" s="28" t="s">
        <v>8</v>
      </c>
      <c r="B808" s="2" t="s">
        <v>29</v>
      </c>
      <c r="C808" s="30">
        <v>0.5</v>
      </c>
      <c r="D808" s="28">
        <f>YEAR(TableauFlitrage[[#This Row],[Date_d_adjudication]])</f>
        <v>2020</v>
      </c>
      <c r="E808" s="28">
        <f t="shared" si="12"/>
        <v>6</v>
      </c>
      <c r="F808" s="15">
        <v>43992.5</v>
      </c>
      <c r="G808" s="28">
        <v>96.97</v>
      </c>
      <c r="H808" s="15">
        <v>44176</v>
      </c>
      <c r="I808">
        <v>197.49</v>
      </c>
      <c r="J808">
        <v>12000</v>
      </c>
      <c r="K808" s="28">
        <v>5.99</v>
      </c>
    </row>
    <row r="809" spans="1:12" ht="15" customHeight="1" x14ac:dyDescent="0.2">
      <c r="A809" s="28" t="s">
        <v>9</v>
      </c>
      <c r="B809" t="s">
        <v>30</v>
      </c>
      <c r="C809" s="30" t="s">
        <v>56</v>
      </c>
      <c r="D809" s="28">
        <f>YEAR(TableauFlitrage[[#This Row],[Date_d_adjudication]])</f>
        <v>2020</v>
      </c>
      <c r="E809" s="28">
        <f t="shared" si="12"/>
        <v>6</v>
      </c>
      <c r="F809" s="15">
        <v>43999</v>
      </c>
      <c r="G809" s="28">
        <v>99.81</v>
      </c>
      <c r="H809" s="15">
        <v>45371</v>
      </c>
      <c r="I809">
        <v>113.65</v>
      </c>
      <c r="J809">
        <v>20000</v>
      </c>
      <c r="K809" s="28">
        <v>6.5</v>
      </c>
      <c r="L809">
        <v>6.5</v>
      </c>
    </row>
    <row r="810" spans="1:12" ht="15" customHeight="1" x14ac:dyDescent="0.2">
      <c r="A810" s="28" t="s">
        <v>9</v>
      </c>
      <c r="B810" t="s">
        <v>30</v>
      </c>
      <c r="C810" s="30" t="s">
        <v>53</v>
      </c>
      <c r="D810" s="28">
        <f>YEAR(TableauFlitrage[[#This Row],[Date_d_adjudication]])</f>
        <v>2020</v>
      </c>
      <c r="E810" s="28">
        <f t="shared" si="12"/>
        <v>6</v>
      </c>
      <c r="F810" s="15">
        <v>43999</v>
      </c>
      <c r="G810" s="28">
        <v>93.9</v>
      </c>
      <c r="H810" s="15">
        <v>44731</v>
      </c>
      <c r="I810">
        <v>100</v>
      </c>
      <c r="J810">
        <v>22500</v>
      </c>
      <c r="K810" s="28">
        <v>4.75</v>
      </c>
      <c r="L810">
        <v>8.11</v>
      </c>
    </row>
    <row r="811" spans="1:12" ht="15" customHeight="1" x14ac:dyDescent="0.2">
      <c r="A811" s="28" t="s">
        <v>7</v>
      </c>
      <c r="B811" t="s">
        <v>30</v>
      </c>
      <c r="C811" s="30" t="s">
        <v>58</v>
      </c>
      <c r="D811" s="28">
        <f>YEAR(TableauFlitrage[[#This Row],[Date_d_adjudication]])</f>
        <v>2020</v>
      </c>
      <c r="E811" s="28">
        <f t="shared" si="12"/>
        <v>6</v>
      </c>
      <c r="F811" s="15">
        <v>43999</v>
      </c>
      <c r="G811" s="28">
        <v>98.55</v>
      </c>
      <c r="H811" s="15">
        <v>46557</v>
      </c>
      <c r="I811">
        <v>70.91</v>
      </c>
      <c r="J811">
        <v>25000</v>
      </c>
      <c r="K811" s="28">
        <v>6.5</v>
      </c>
      <c r="L811">
        <v>6.76</v>
      </c>
    </row>
    <row r="812" spans="1:12" ht="15" customHeight="1" x14ac:dyDescent="0.2">
      <c r="A812" s="28" t="s">
        <v>9</v>
      </c>
      <c r="B812" s="2" t="s">
        <v>29</v>
      </c>
      <c r="C812" s="30">
        <v>1</v>
      </c>
      <c r="D812" s="28">
        <f>YEAR(TableauFlitrage[[#This Row],[Date_d_adjudication]])</f>
        <v>2020</v>
      </c>
      <c r="E812" s="28">
        <f t="shared" si="12"/>
        <v>6</v>
      </c>
      <c r="F812" s="15">
        <v>43999.5</v>
      </c>
      <c r="G812" s="28">
        <v>95.53</v>
      </c>
      <c r="H812" s="15">
        <v>44365</v>
      </c>
      <c r="I812">
        <v>240.35</v>
      </c>
      <c r="J812">
        <v>15000</v>
      </c>
      <c r="K812" s="28">
        <v>4.41</v>
      </c>
    </row>
    <row r="813" spans="1:12" ht="15" customHeight="1" x14ac:dyDescent="0.2">
      <c r="A813" s="28" t="s">
        <v>11</v>
      </c>
      <c r="B813" s="2" t="s">
        <v>29</v>
      </c>
      <c r="C813" s="30">
        <v>0.5</v>
      </c>
      <c r="D813" s="28">
        <f>YEAR(TableauFlitrage[[#This Row],[Date_d_adjudication]])</f>
        <v>2020</v>
      </c>
      <c r="E813" s="28">
        <f t="shared" si="12"/>
        <v>6</v>
      </c>
      <c r="F813" s="15">
        <v>43999.5</v>
      </c>
      <c r="G813" s="28">
        <v>96.92</v>
      </c>
      <c r="H813" s="15">
        <v>44183</v>
      </c>
      <c r="I813">
        <v>10.130000000000001</v>
      </c>
      <c r="J813">
        <v>36380</v>
      </c>
      <c r="K813" s="28">
        <v>6.08</v>
      </c>
    </row>
    <row r="814" spans="1:12" ht="15" customHeight="1" x14ac:dyDescent="0.2">
      <c r="A814" s="28" t="s">
        <v>8</v>
      </c>
      <c r="B814" t="s">
        <v>30</v>
      </c>
      <c r="C814" s="30" t="s">
        <v>53</v>
      </c>
      <c r="D814" s="28">
        <f>YEAR(TableauFlitrage[[#This Row],[Date_d_adjudication]])</f>
        <v>2020</v>
      </c>
      <c r="E814" s="28">
        <f t="shared" si="12"/>
        <v>6</v>
      </c>
      <c r="F814" s="15">
        <v>44006</v>
      </c>
      <c r="G814" s="28">
        <v>90.58</v>
      </c>
      <c r="H814" s="15">
        <v>44738</v>
      </c>
      <c r="I814">
        <v>109.07</v>
      </c>
      <c r="J814">
        <v>30000</v>
      </c>
      <c r="K814" s="28">
        <v>6</v>
      </c>
      <c r="L814">
        <v>11.4</v>
      </c>
    </row>
    <row r="815" spans="1:12" ht="15" customHeight="1" x14ac:dyDescent="0.2">
      <c r="A815" s="28" t="s">
        <v>7</v>
      </c>
      <c r="B815" s="2" t="s">
        <v>29</v>
      </c>
      <c r="C815" s="30">
        <v>0.5</v>
      </c>
      <c r="D815" s="28">
        <f>YEAR(TableauFlitrage[[#This Row],[Date_d_adjudication]])</f>
        <v>2020</v>
      </c>
      <c r="E815" s="28">
        <f t="shared" si="12"/>
        <v>6</v>
      </c>
      <c r="F815" s="15">
        <v>44006.5</v>
      </c>
      <c r="G815" s="28">
        <v>98.63</v>
      </c>
      <c r="H815" s="15">
        <v>44190</v>
      </c>
      <c r="I815">
        <v>187.2</v>
      </c>
      <c r="J815">
        <v>25000</v>
      </c>
      <c r="K815" s="28">
        <v>2.7</v>
      </c>
    </row>
    <row r="816" spans="1:12" ht="15" customHeight="1" x14ac:dyDescent="0.2">
      <c r="A816" s="28" t="s">
        <v>9</v>
      </c>
      <c r="B816" s="2" t="s">
        <v>29</v>
      </c>
      <c r="C816" s="30">
        <v>0.25</v>
      </c>
      <c r="D816" s="28">
        <f>YEAR(TableauFlitrage[[#This Row],[Date_d_adjudication]])</f>
        <v>2020</v>
      </c>
      <c r="E816" s="28">
        <f t="shared" si="12"/>
        <v>6</v>
      </c>
      <c r="F816" s="15">
        <v>44006.5</v>
      </c>
      <c r="G816" s="28">
        <v>99.01</v>
      </c>
      <c r="H816" s="15">
        <v>44099</v>
      </c>
      <c r="I816">
        <v>306.75</v>
      </c>
      <c r="J816">
        <v>14500</v>
      </c>
      <c r="K816" s="28">
        <v>3.89</v>
      </c>
    </row>
    <row r="817" spans="1:12" ht="15" customHeight="1" x14ac:dyDescent="0.2">
      <c r="A817" s="28" t="s">
        <v>11</v>
      </c>
      <c r="B817" s="2" t="s">
        <v>29</v>
      </c>
      <c r="C817" s="30">
        <v>0.5</v>
      </c>
      <c r="D817" s="28">
        <f>YEAR(TableauFlitrage[[#This Row],[Date_d_adjudication]])</f>
        <v>2020</v>
      </c>
      <c r="E817" s="28">
        <f t="shared" si="12"/>
        <v>6</v>
      </c>
      <c r="F817" s="15">
        <v>44006.5</v>
      </c>
      <c r="G817" s="28">
        <v>97.09</v>
      </c>
      <c r="H817" s="15">
        <v>44190</v>
      </c>
      <c r="I817">
        <v>84.99</v>
      </c>
      <c r="J817">
        <v>25313</v>
      </c>
      <c r="K817" s="28">
        <v>5.75</v>
      </c>
    </row>
    <row r="818" spans="1:12" ht="15" customHeight="1" x14ac:dyDescent="0.2">
      <c r="A818" s="28" t="s">
        <v>9</v>
      </c>
      <c r="B818" s="2" t="s">
        <v>29</v>
      </c>
      <c r="C818" s="30">
        <v>0.25</v>
      </c>
      <c r="D818" s="28">
        <f>YEAR(TableauFlitrage[[#This Row],[Date_d_adjudication]])</f>
        <v>1900</v>
      </c>
      <c r="E818" s="28">
        <f t="shared" si="12"/>
        <v>4</v>
      </c>
      <c r="F818" s="15">
        <f t="shared" ref="F818:F838" si="13">+G818-2</f>
        <v>97.030807999999993</v>
      </c>
      <c r="G818" s="28">
        <f>990308.08/10000</f>
        <v>99.030807999999993</v>
      </c>
      <c r="H818" s="15">
        <v>44106</v>
      </c>
      <c r="I818">
        <v>234.2</v>
      </c>
      <c r="J818">
        <v>12000</v>
      </c>
      <c r="K818" s="28">
        <v>3.8342000000000001</v>
      </c>
    </row>
    <row r="819" spans="1:12" ht="15" customHeight="1" x14ac:dyDescent="0.2">
      <c r="A819" s="28" t="s">
        <v>10</v>
      </c>
      <c r="B819" s="2" t="s">
        <v>29</v>
      </c>
      <c r="C819" s="30">
        <v>1</v>
      </c>
      <c r="D819" s="28">
        <f>YEAR(TableauFlitrage[[#This Row],[Date_d_adjudication]])</f>
        <v>1900</v>
      </c>
      <c r="E819" s="28">
        <f t="shared" si="12"/>
        <v>3</v>
      </c>
      <c r="F819" s="15">
        <f t="shared" si="13"/>
        <v>89.885832999999991</v>
      </c>
      <c r="G819" s="28">
        <f>918858.33/10000</f>
        <v>91.885832999999991</v>
      </c>
      <c r="H819" s="15">
        <v>44379</v>
      </c>
      <c r="I819">
        <v>53.332999999999998</v>
      </c>
      <c r="J819">
        <v>15000</v>
      </c>
      <c r="K819" s="28">
        <v>8.0250000000000004</v>
      </c>
    </row>
    <row r="820" spans="1:12" ht="15" customHeight="1" x14ac:dyDescent="0.2">
      <c r="A820" s="28" t="s">
        <v>9</v>
      </c>
      <c r="B820" t="s">
        <v>30</v>
      </c>
      <c r="C820" s="30" t="s">
        <v>54</v>
      </c>
      <c r="D820" s="28">
        <f>YEAR(TableauFlitrage[[#This Row],[Date_d_adjudication]])</f>
        <v>1900</v>
      </c>
      <c r="E820" s="28">
        <f t="shared" si="12"/>
        <v>3</v>
      </c>
      <c r="F820" s="15">
        <f t="shared" si="13"/>
        <v>89</v>
      </c>
      <c r="G820" s="28">
        <v>91</v>
      </c>
      <c r="H820" s="15">
        <v>45110</v>
      </c>
      <c r="I820">
        <v>17.142900000000001</v>
      </c>
      <c r="J820">
        <v>17500</v>
      </c>
      <c r="K820" s="28">
        <v>5.75</v>
      </c>
      <c r="L820">
        <v>9.25</v>
      </c>
    </row>
    <row r="821" spans="1:12" ht="15" customHeight="1" x14ac:dyDescent="0.2">
      <c r="A821" s="28" t="s">
        <v>9</v>
      </c>
      <c r="B821" t="s">
        <v>30</v>
      </c>
      <c r="C821" s="30" t="s">
        <v>56</v>
      </c>
      <c r="D821" s="28">
        <f>YEAR(TableauFlitrage[[#This Row],[Date_d_adjudication]])</f>
        <v>1900</v>
      </c>
      <c r="E821" s="28">
        <f t="shared" si="12"/>
        <v>3</v>
      </c>
      <c r="F821" s="15">
        <f t="shared" si="13"/>
        <v>90.224299999999999</v>
      </c>
      <c r="G821" s="28">
        <f>9222.43/100</f>
        <v>92.224299999999999</v>
      </c>
      <c r="H821" s="15">
        <v>45371</v>
      </c>
      <c r="I821">
        <v>28.215</v>
      </c>
      <c r="J821">
        <v>10000</v>
      </c>
      <c r="K821" s="28">
        <v>6.5</v>
      </c>
      <c r="L821">
        <v>8.85</v>
      </c>
    </row>
    <row r="822" spans="1:12" ht="15" customHeight="1" x14ac:dyDescent="0.2">
      <c r="A822" s="28" t="s">
        <v>7</v>
      </c>
      <c r="B822" s="2" t="s">
        <v>29</v>
      </c>
      <c r="C822" s="30">
        <v>0.25</v>
      </c>
      <c r="D822" s="28">
        <f>YEAR(TableauFlitrage[[#This Row],[Date_d_adjudication]])</f>
        <v>1900</v>
      </c>
      <c r="E822" s="28">
        <f t="shared" ref="E822:E885" si="14">MONTH(F822)</f>
        <v>4</v>
      </c>
      <c r="F822" s="15">
        <f t="shared" si="13"/>
        <v>97.40692</v>
      </c>
      <c r="G822" s="28">
        <f>994069.2/10000</f>
        <v>99.40692</v>
      </c>
      <c r="H822" s="15">
        <v>44113</v>
      </c>
      <c r="I822">
        <v>208.24</v>
      </c>
      <c r="J822">
        <v>25000</v>
      </c>
      <c r="K822" s="28">
        <v>2.3462999999999998</v>
      </c>
    </row>
    <row r="823" spans="1:12" ht="15" customHeight="1" x14ac:dyDescent="0.2">
      <c r="A823" s="28" t="s">
        <v>9</v>
      </c>
      <c r="B823" s="2" t="s">
        <v>29</v>
      </c>
      <c r="C823" s="30">
        <v>0.5</v>
      </c>
      <c r="D823" s="28">
        <f>YEAR(TableauFlitrage[[#This Row],[Date_d_adjudication]])</f>
        <v>1900</v>
      </c>
      <c r="E823" s="28">
        <f t="shared" si="14"/>
        <v>4</v>
      </c>
      <c r="F823" s="15">
        <f t="shared" si="13"/>
        <v>95.968074999999999</v>
      </c>
      <c r="G823" s="28">
        <f>979680.75/10000</f>
        <v>97.968074999999999</v>
      </c>
      <c r="H823" s="15">
        <v>44204</v>
      </c>
      <c r="I823">
        <v>274.45710000000003</v>
      </c>
      <c r="J823">
        <v>14000</v>
      </c>
      <c r="K823" s="28">
        <v>4.0191999999999997</v>
      </c>
    </row>
    <row r="824" spans="1:12" ht="15" customHeight="1" x14ac:dyDescent="0.2">
      <c r="A824" s="28" t="s">
        <v>10</v>
      </c>
      <c r="B824" s="2" t="s">
        <v>29</v>
      </c>
      <c r="C824" s="30">
        <v>1</v>
      </c>
      <c r="D824" s="28">
        <f>YEAR(TableauFlitrage[[#This Row],[Date_d_adjudication]])</f>
        <v>1900</v>
      </c>
      <c r="E824" s="28">
        <f t="shared" si="14"/>
        <v>3</v>
      </c>
      <c r="F824" s="15">
        <f t="shared" si="13"/>
        <v>90.011459000000002</v>
      </c>
      <c r="G824" s="28">
        <f>920114.59/10000</f>
        <v>92.011459000000002</v>
      </c>
      <c r="H824" s="15">
        <v>44386</v>
      </c>
      <c r="I824">
        <v>79.566699999999997</v>
      </c>
      <c r="J824">
        <v>15000</v>
      </c>
      <c r="K824" s="28">
        <v>7.9008000000000003</v>
      </c>
    </row>
    <row r="825" spans="1:12" ht="15" customHeight="1" x14ac:dyDescent="0.2">
      <c r="A825" s="28" t="s">
        <v>11</v>
      </c>
      <c r="B825" s="2" t="s">
        <v>29</v>
      </c>
      <c r="C825" s="30">
        <v>0.5</v>
      </c>
      <c r="D825" s="28">
        <f>YEAR(TableauFlitrage[[#This Row],[Date_d_adjudication]])</f>
        <v>1900</v>
      </c>
      <c r="E825" s="28">
        <f t="shared" si="14"/>
        <v>4</v>
      </c>
      <c r="F825" s="15">
        <f t="shared" si="13"/>
        <v>94.966667000000001</v>
      </c>
      <c r="G825" s="28">
        <f>969666.67/10000</f>
        <v>96.966667000000001</v>
      </c>
      <c r="H825" s="15">
        <v>44204</v>
      </c>
      <c r="I825">
        <v>74.997799999999998</v>
      </c>
      <c r="J825">
        <v>11391</v>
      </c>
      <c r="K825" s="28">
        <v>6</v>
      </c>
    </row>
    <row r="826" spans="1:12" ht="15" customHeight="1" x14ac:dyDescent="0.2">
      <c r="A826" s="28" t="s">
        <v>7</v>
      </c>
      <c r="B826" s="2" t="s">
        <v>29</v>
      </c>
      <c r="C826" s="30">
        <v>0.5</v>
      </c>
      <c r="D826" s="28">
        <f>YEAR(TableauFlitrage[[#This Row],[Date_d_adjudication]])</f>
        <v>1900</v>
      </c>
      <c r="E826" s="28">
        <f t="shared" si="14"/>
        <v>4</v>
      </c>
      <c r="F826" s="15">
        <f t="shared" si="13"/>
        <v>96.738437000000005</v>
      </c>
      <c r="G826" s="28">
        <f>987384.37/10000</f>
        <v>98.738437000000005</v>
      </c>
      <c r="H826" s="15">
        <v>44211</v>
      </c>
      <c r="I826">
        <v>244.24</v>
      </c>
      <c r="J826">
        <v>25000</v>
      </c>
      <c r="K826" s="28">
        <v>2.4954000000000001</v>
      </c>
    </row>
    <row r="827" spans="1:12" ht="15" customHeight="1" x14ac:dyDescent="0.2">
      <c r="A827" s="28" t="s">
        <v>9</v>
      </c>
      <c r="B827" s="2" t="s">
        <v>29</v>
      </c>
      <c r="C827" s="30">
        <v>0.5</v>
      </c>
      <c r="D827" s="28">
        <f>YEAR(TableauFlitrage[[#This Row],[Date_d_adjudication]])</f>
        <v>1900</v>
      </c>
      <c r="E827" s="28">
        <f t="shared" si="14"/>
        <v>4</v>
      </c>
      <c r="F827" s="15">
        <f t="shared" si="13"/>
        <v>95.946399999999997</v>
      </c>
      <c r="G827" s="28">
        <f>979464/10000</f>
        <v>97.946399999999997</v>
      </c>
      <c r="H827" s="15">
        <v>44211</v>
      </c>
      <c r="I827">
        <v>245.5333</v>
      </c>
      <c r="J827">
        <v>15000</v>
      </c>
      <c r="K827" s="28">
        <v>4.0618999999999996</v>
      </c>
    </row>
    <row r="828" spans="1:12" ht="15" customHeight="1" x14ac:dyDescent="0.2">
      <c r="A828" s="28" t="s">
        <v>11</v>
      </c>
      <c r="B828" s="2" t="s">
        <v>29</v>
      </c>
      <c r="C828" s="30">
        <v>0.5</v>
      </c>
      <c r="D828" s="28">
        <f>YEAR(TableauFlitrage[[#This Row],[Date_d_adjudication]])</f>
        <v>1900</v>
      </c>
      <c r="E828" s="28">
        <f t="shared" si="14"/>
        <v>4</v>
      </c>
      <c r="F828" s="15">
        <f t="shared" si="13"/>
        <v>94.983456000000004</v>
      </c>
      <c r="G828" s="28">
        <f>969834.56/10000</f>
        <v>96.983456000000004</v>
      </c>
      <c r="H828" s="15">
        <v>44211</v>
      </c>
      <c r="I828">
        <v>126.6086</v>
      </c>
      <c r="J828">
        <v>12045</v>
      </c>
      <c r="K828" s="28">
        <v>5.9668000000000001</v>
      </c>
    </row>
    <row r="829" spans="1:12" ht="15" customHeight="1" x14ac:dyDescent="0.2">
      <c r="A829" s="28" t="s">
        <v>8</v>
      </c>
      <c r="B829" t="s">
        <v>30</v>
      </c>
      <c r="C829" s="30" t="s">
        <v>53</v>
      </c>
      <c r="D829" s="28">
        <f>YEAR(TableauFlitrage[[#This Row],[Date_d_adjudication]])</f>
        <v>1900</v>
      </c>
      <c r="E829" s="28">
        <f t="shared" si="14"/>
        <v>3</v>
      </c>
      <c r="F829" s="15">
        <f t="shared" si="13"/>
        <v>90.627099999999984</v>
      </c>
      <c r="G829" s="28">
        <f>9262.71/100</f>
        <v>92.627099999999984</v>
      </c>
      <c r="H829" s="15">
        <v>44661</v>
      </c>
      <c r="I829">
        <v>71.150000000000006</v>
      </c>
      <c r="J829">
        <v>10000</v>
      </c>
      <c r="K829" s="28">
        <v>6</v>
      </c>
      <c r="L829">
        <v>10.17</v>
      </c>
    </row>
    <row r="830" spans="1:12" ht="15" customHeight="1" x14ac:dyDescent="0.2">
      <c r="A830" s="28" t="s">
        <v>8</v>
      </c>
      <c r="B830" t="s">
        <v>30</v>
      </c>
      <c r="C830" s="30" t="s">
        <v>54</v>
      </c>
      <c r="D830" s="28">
        <f>YEAR(TableauFlitrage[[#This Row],[Date_d_adjudication]])</f>
        <v>1900</v>
      </c>
      <c r="E830" s="28">
        <f t="shared" si="14"/>
        <v>3</v>
      </c>
      <c r="F830" s="15">
        <f t="shared" si="13"/>
        <v>91.627099999999999</v>
      </c>
      <c r="G830" s="28">
        <v>93.627099999999999</v>
      </c>
      <c r="H830" s="15">
        <v>45124</v>
      </c>
      <c r="I830">
        <v>164.71109999999999</v>
      </c>
      <c r="J830">
        <v>15000</v>
      </c>
      <c r="K830" s="28">
        <v>6.2</v>
      </c>
      <c r="L830">
        <v>8.66</v>
      </c>
    </row>
    <row r="831" spans="1:12" ht="15" customHeight="1" x14ac:dyDescent="0.2">
      <c r="A831" s="28" t="s">
        <v>9</v>
      </c>
      <c r="B831" s="2" t="s">
        <v>29</v>
      </c>
      <c r="C831" s="30">
        <v>0.25</v>
      </c>
      <c r="D831" s="28">
        <f>YEAR(TableauFlitrage[[#This Row],[Date_d_adjudication]])</f>
        <v>1900</v>
      </c>
      <c r="E831" s="28">
        <f t="shared" si="14"/>
        <v>4</v>
      </c>
      <c r="F831" s="15">
        <f t="shared" si="13"/>
        <v>97.119710999999995</v>
      </c>
      <c r="G831" s="28">
        <f>991197.11/10000</f>
        <v>99.119710999999995</v>
      </c>
      <c r="H831" s="15">
        <v>44127</v>
      </c>
      <c r="I831">
        <v>184.77330000000001</v>
      </c>
      <c r="J831">
        <v>15000</v>
      </c>
      <c r="K831" s="28">
        <v>3.4824999999999999</v>
      </c>
    </row>
    <row r="832" spans="1:12" ht="15" customHeight="1" x14ac:dyDescent="0.2">
      <c r="A832" s="28" t="s">
        <v>11</v>
      </c>
      <c r="B832" s="2" t="s">
        <v>29</v>
      </c>
      <c r="C832" s="30">
        <v>0.5</v>
      </c>
      <c r="D832" s="28">
        <f>YEAR(TableauFlitrage[[#This Row],[Date_d_adjudication]])</f>
        <v>1900</v>
      </c>
      <c r="E832" s="28">
        <f t="shared" si="14"/>
        <v>4</v>
      </c>
      <c r="F832" s="15">
        <f t="shared" si="13"/>
        <v>94.966667000000001</v>
      </c>
      <c r="G832" s="28">
        <f>969666.67/10000</f>
        <v>96.966667000000001</v>
      </c>
      <c r="H832" s="15">
        <v>44218</v>
      </c>
      <c r="I832">
        <v>193.65770000000001</v>
      </c>
      <c r="J832">
        <v>4131</v>
      </c>
      <c r="K832" s="28">
        <v>6</v>
      </c>
    </row>
    <row r="833" spans="1:12" ht="15" customHeight="1" x14ac:dyDescent="0.2">
      <c r="A833" s="28" t="s">
        <v>8</v>
      </c>
      <c r="B833" t="s">
        <v>30</v>
      </c>
      <c r="C833" s="30" t="s">
        <v>54</v>
      </c>
      <c r="D833" s="28">
        <f>YEAR(TableauFlitrage[[#This Row],[Date_d_adjudication]])</f>
        <v>1900</v>
      </c>
      <c r="E833" s="28">
        <f t="shared" si="14"/>
        <v>3</v>
      </c>
      <c r="F833" s="15">
        <f t="shared" si="13"/>
        <v>88.118899999999996</v>
      </c>
      <c r="G833" s="28">
        <f>9011.89/100</f>
        <v>90.118899999999996</v>
      </c>
      <c r="H833" s="15">
        <v>45124</v>
      </c>
      <c r="I833">
        <v>96.913899999999998</v>
      </c>
      <c r="J833">
        <v>10000</v>
      </c>
      <c r="K833" s="28">
        <v>6.2</v>
      </c>
      <c r="L833">
        <v>10.1</v>
      </c>
    </row>
    <row r="834" spans="1:12" ht="15" customHeight="1" x14ac:dyDescent="0.2">
      <c r="A834" s="28" t="s">
        <v>9</v>
      </c>
      <c r="B834" t="s">
        <v>30</v>
      </c>
      <c r="C834" s="30" t="s">
        <v>53</v>
      </c>
      <c r="D834" s="28">
        <f>YEAR(TableauFlitrage[[#This Row],[Date_d_adjudication]])</f>
        <v>1900</v>
      </c>
      <c r="E834" s="28">
        <f t="shared" si="14"/>
        <v>3</v>
      </c>
      <c r="F834" s="15">
        <f t="shared" si="13"/>
        <v>89</v>
      </c>
      <c r="G834" s="28">
        <v>91</v>
      </c>
      <c r="H834" s="15">
        <v>44766</v>
      </c>
      <c r="I834">
        <v>37.36</v>
      </c>
      <c r="J834">
        <v>25000</v>
      </c>
      <c r="K834" s="28">
        <v>4.75</v>
      </c>
      <c r="L834">
        <v>9.82</v>
      </c>
    </row>
    <row r="835" spans="1:12" ht="15" customHeight="1" x14ac:dyDescent="0.2">
      <c r="A835" s="28" t="s">
        <v>9</v>
      </c>
      <c r="B835" t="s">
        <v>30</v>
      </c>
      <c r="C835" s="30" t="s">
        <v>54</v>
      </c>
      <c r="D835" s="28">
        <f>YEAR(TableauFlitrage[[#This Row],[Date_d_adjudication]])</f>
        <v>1900</v>
      </c>
      <c r="E835" s="28">
        <f t="shared" si="14"/>
        <v>4</v>
      </c>
      <c r="F835" s="15">
        <f t="shared" si="13"/>
        <v>95.497700000000009</v>
      </c>
      <c r="G835" s="28">
        <f>9749.77/100</f>
        <v>97.497700000000009</v>
      </c>
      <c r="H835" s="15">
        <v>45110</v>
      </c>
      <c r="I835">
        <v>15.64</v>
      </c>
      <c r="J835">
        <v>22500</v>
      </c>
      <c r="K835" s="28">
        <v>5.75</v>
      </c>
      <c r="L835">
        <v>6.68</v>
      </c>
    </row>
    <row r="836" spans="1:12" ht="15" customHeight="1" x14ac:dyDescent="0.2">
      <c r="A836" s="28" t="s">
        <v>7</v>
      </c>
      <c r="B836" s="2" t="s">
        <v>29</v>
      </c>
      <c r="C836" s="30">
        <v>1</v>
      </c>
      <c r="D836" s="28">
        <f>YEAR(TableauFlitrage[[#This Row],[Date_d_adjudication]])</f>
        <v>1900</v>
      </c>
      <c r="E836" s="28">
        <f t="shared" si="14"/>
        <v>4</v>
      </c>
      <c r="F836" s="15">
        <f t="shared" si="13"/>
        <v>95.224500000000006</v>
      </c>
      <c r="G836" s="28">
        <f>972245/10000</f>
        <v>97.224500000000006</v>
      </c>
      <c r="H836" s="15">
        <v>44407</v>
      </c>
      <c r="I836">
        <v>329.33</v>
      </c>
      <c r="J836">
        <v>15000</v>
      </c>
      <c r="K836" s="28">
        <v>2.4954000000000001</v>
      </c>
    </row>
    <row r="837" spans="1:12" ht="15" customHeight="1" x14ac:dyDescent="0.2">
      <c r="A837" s="28" t="s">
        <v>9</v>
      </c>
      <c r="B837" s="2" t="s">
        <v>29</v>
      </c>
      <c r="C837" s="30">
        <v>0.25</v>
      </c>
      <c r="D837" s="28">
        <f>YEAR(TableauFlitrage[[#This Row],[Date_d_adjudication]])</f>
        <v>1900</v>
      </c>
      <c r="E837" s="28">
        <f t="shared" si="14"/>
        <v>4</v>
      </c>
      <c r="F837" s="15">
        <f t="shared" si="13"/>
        <v>97.146874999999994</v>
      </c>
      <c r="G837" s="28">
        <f>991468.75/10000</f>
        <v>99.146874999999994</v>
      </c>
      <c r="H837" s="15">
        <v>44134</v>
      </c>
      <c r="I837">
        <v>266.66669999999999</v>
      </c>
      <c r="J837">
        <v>15000</v>
      </c>
      <c r="K837" s="28">
        <v>3.375</v>
      </c>
    </row>
    <row r="838" spans="1:12" ht="15" customHeight="1" x14ac:dyDescent="0.2">
      <c r="A838" s="28" t="s">
        <v>11</v>
      </c>
      <c r="B838" s="2" t="s">
        <v>29</v>
      </c>
      <c r="C838" s="30">
        <v>0.5</v>
      </c>
      <c r="D838" s="28">
        <f>YEAR(TableauFlitrage[[#This Row],[Date_d_adjudication]])</f>
        <v>1900</v>
      </c>
      <c r="E838" s="28">
        <f t="shared" si="14"/>
        <v>4</v>
      </c>
      <c r="F838" s="15">
        <f t="shared" si="13"/>
        <v>94.900075999999999</v>
      </c>
      <c r="G838" s="28">
        <f>969000.76/10000</f>
        <v>96.900075999999999</v>
      </c>
      <c r="H838" s="15">
        <v>44225</v>
      </c>
      <c r="I838">
        <v>94.251999999999995</v>
      </c>
      <c r="J838">
        <v>8055</v>
      </c>
      <c r="K838" s="28">
        <v>6.1317000000000004</v>
      </c>
    </row>
    <row r="839" spans="1:12" ht="15" customHeight="1" x14ac:dyDescent="0.2">
      <c r="A839" s="28" t="s">
        <v>8</v>
      </c>
      <c r="B839" s="2" t="s">
        <v>29</v>
      </c>
      <c r="C839" s="30">
        <v>0.5</v>
      </c>
      <c r="D839" s="28">
        <f>YEAR(TableauFlitrage[[#This Row],[Date_d_adjudication]])</f>
        <v>2020</v>
      </c>
      <c r="E839" s="28">
        <f t="shared" si="14"/>
        <v>8</v>
      </c>
      <c r="F839" s="15">
        <v>44048</v>
      </c>
      <c r="G839" s="28">
        <f>969729.2/10000</f>
        <v>96.972920000000002</v>
      </c>
      <c r="H839" s="15">
        <v>44232</v>
      </c>
      <c r="I839">
        <v>110.1769</v>
      </c>
      <c r="J839">
        <v>13000</v>
      </c>
      <c r="K839" s="28">
        <v>5.9875999999999996</v>
      </c>
    </row>
    <row r="840" spans="1:12" ht="15" customHeight="1" x14ac:dyDescent="0.2">
      <c r="A840" s="28" t="s">
        <v>7</v>
      </c>
      <c r="B840" s="2" t="s">
        <v>29</v>
      </c>
      <c r="C840" s="30">
        <v>1</v>
      </c>
      <c r="D840" s="28">
        <f>YEAR(TableauFlitrage[[#This Row],[Date_d_adjudication]])</f>
        <v>2020</v>
      </c>
      <c r="E840" s="28">
        <f t="shared" si="14"/>
        <v>8</v>
      </c>
      <c r="F840" s="15">
        <v>44048</v>
      </c>
      <c r="G840" s="28">
        <f>972494.41/10000</f>
        <v>97.249441000000004</v>
      </c>
      <c r="H840" s="15">
        <v>44414</v>
      </c>
      <c r="I840">
        <v>246.66669999999999</v>
      </c>
      <c r="J840">
        <v>15000</v>
      </c>
      <c r="K840" s="28">
        <v>2.7202999999999999</v>
      </c>
    </row>
    <row r="841" spans="1:12" ht="15" customHeight="1" x14ac:dyDescent="0.2">
      <c r="A841" s="28" t="s">
        <v>9</v>
      </c>
      <c r="B841" s="2" t="s">
        <v>29</v>
      </c>
      <c r="C841" s="30">
        <v>0.5</v>
      </c>
      <c r="D841" s="28">
        <f>YEAR(TableauFlitrage[[#This Row],[Date_d_adjudication]])</f>
        <v>2020</v>
      </c>
      <c r="E841" s="28">
        <f t="shared" si="14"/>
        <v>8</v>
      </c>
      <c r="F841" s="15">
        <v>44048</v>
      </c>
      <c r="G841" s="28">
        <f>981067.15/10000</f>
        <v>98.106715000000008</v>
      </c>
      <c r="H841" s="15">
        <v>44232</v>
      </c>
      <c r="I841">
        <v>235.52</v>
      </c>
      <c r="J841">
        <v>12500</v>
      </c>
      <c r="K841" s="28">
        <v>3.7450000000000001</v>
      </c>
    </row>
    <row r="842" spans="1:12" ht="15" customHeight="1" x14ac:dyDescent="0.2">
      <c r="A842" s="28" t="s">
        <v>10</v>
      </c>
      <c r="B842" s="2" t="s">
        <v>29</v>
      </c>
      <c r="C842" s="30">
        <v>1</v>
      </c>
      <c r="D842" s="28">
        <f>YEAR(TableauFlitrage[[#This Row],[Date_d_adjudication]])</f>
        <v>2020</v>
      </c>
      <c r="E842" s="28">
        <f t="shared" si="14"/>
        <v>8</v>
      </c>
      <c r="F842" s="15">
        <v>44048</v>
      </c>
      <c r="G842" s="28">
        <f>919535.78/10000</f>
        <v>91.953578000000007</v>
      </c>
      <c r="H842" s="15">
        <v>44415</v>
      </c>
      <c r="I842">
        <v>217.5333</v>
      </c>
      <c r="J842">
        <v>15000</v>
      </c>
      <c r="K842" s="28">
        <v>7.9580000000000002</v>
      </c>
    </row>
    <row r="843" spans="1:12" ht="12.75" customHeight="1" x14ac:dyDescent="0.2">
      <c r="A843" s="28" t="s">
        <v>11</v>
      </c>
      <c r="B843" s="2" t="s">
        <v>29</v>
      </c>
      <c r="C843" s="30">
        <v>0.5</v>
      </c>
      <c r="D843" s="28">
        <f>YEAR(TableauFlitrage[[#This Row],[Date_d_adjudication]])</f>
        <v>2020</v>
      </c>
      <c r="E843" s="28">
        <f t="shared" si="14"/>
        <v>8</v>
      </c>
      <c r="F843" s="15">
        <v>44048</v>
      </c>
      <c r="G843" s="28">
        <f>969666.67/10000</f>
        <v>96.966667000000001</v>
      </c>
      <c r="H843" s="15">
        <v>44232</v>
      </c>
      <c r="I843">
        <v>119.8257</v>
      </c>
      <c r="J843">
        <v>8262</v>
      </c>
      <c r="K843" s="28">
        <v>6</v>
      </c>
    </row>
    <row r="844" spans="1:12" ht="12.75" customHeight="1" x14ac:dyDescent="0.2">
      <c r="A844" s="28" t="s">
        <v>8</v>
      </c>
      <c r="B844" s="2" t="s">
        <v>29</v>
      </c>
      <c r="C844" s="30">
        <v>0.5</v>
      </c>
      <c r="D844" s="28">
        <f>YEAR(TableauFlitrage[[#This Row],[Date_d_adjudication]])</f>
        <v>2020</v>
      </c>
      <c r="E844" s="28">
        <f t="shared" si="14"/>
        <v>8</v>
      </c>
      <c r="F844" s="15">
        <v>44055</v>
      </c>
      <c r="G844" s="28">
        <f>969819.68/10000</f>
        <v>96.981968000000009</v>
      </c>
      <c r="H844" s="15">
        <v>44239</v>
      </c>
      <c r="I844">
        <v>113.33329999999999</v>
      </c>
      <c r="J844">
        <v>15000</v>
      </c>
      <c r="K844" s="28">
        <v>5.9696999999999996</v>
      </c>
    </row>
    <row r="845" spans="1:12" ht="12.75" customHeight="1" x14ac:dyDescent="0.2">
      <c r="A845" s="28" t="s">
        <v>7</v>
      </c>
      <c r="B845" s="2" t="s">
        <v>29</v>
      </c>
      <c r="C845" s="30">
        <v>0.5</v>
      </c>
      <c r="D845" s="28">
        <f>YEAR(TableauFlitrage[[#This Row],[Date_d_adjudication]])</f>
        <v>2020</v>
      </c>
      <c r="E845" s="28">
        <f t="shared" si="14"/>
        <v>8</v>
      </c>
      <c r="F845" s="15">
        <v>44055</v>
      </c>
      <c r="G845" s="28">
        <f>987483.29/10000</f>
        <v>98.748328999999998</v>
      </c>
      <c r="H845" s="15">
        <v>44239</v>
      </c>
      <c r="I845">
        <v>158.26669999999999</v>
      </c>
      <c r="J845">
        <v>30000</v>
      </c>
      <c r="K845" s="28">
        <v>2.4758</v>
      </c>
    </row>
    <row r="846" spans="1:12" ht="12.75" customHeight="1" x14ac:dyDescent="0.2">
      <c r="A846" s="28" t="s">
        <v>9</v>
      </c>
      <c r="B846" s="2" t="s">
        <v>29</v>
      </c>
      <c r="C846" s="30">
        <v>0.5</v>
      </c>
      <c r="D846" s="28">
        <f>YEAR(TableauFlitrage[[#This Row],[Date_d_adjudication]])</f>
        <v>2020</v>
      </c>
      <c r="E846" s="28">
        <f t="shared" si="14"/>
        <v>8</v>
      </c>
      <c r="F846" s="15">
        <v>44055</v>
      </c>
      <c r="G846" s="28">
        <f>981020.05/10000</f>
        <v>98.102005000000005</v>
      </c>
      <c r="H846" s="15">
        <v>44239</v>
      </c>
      <c r="I846">
        <v>133.64169999999999</v>
      </c>
      <c r="J846">
        <v>12000</v>
      </c>
      <c r="K846" s="28">
        <v>3.7543000000000002</v>
      </c>
    </row>
    <row r="847" spans="1:12" ht="12.75" customHeight="1" x14ac:dyDescent="0.2">
      <c r="A847" s="28" t="s">
        <v>9</v>
      </c>
      <c r="B847" s="2" t="s">
        <v>29</v>
      </c>
      <c r="C847" s="30">
        <v>0.25</v>
      </c>
      <c r="D847" s="28">
        <f>YEAR(TableauFlitrage[[#This Row],[Date_d_adjudication]])</f>
        <v>2020</v>
      </c>
      <c r="E847" s="28">
        <f t="shared" si="14"/>
        <v>8</v>
      </c>
      <c r="F847" s="15">
        <v>44062</v>
      </c>
      <c r="G847" s="28">
        <v>99.084599999999995</v>
      </c>
      <c r="H847" s="15">
        <v>44155</v>
      </c>
      <c r="I847">
        <v>100.64</v>
      </c>
      <c r="J847">
        <v>15000</v>
      </c>
      <c r="K847" s="28">
        <v>3.6212</v>
      </c>
    </row>
    <row r="848" spans="1:12" ht="12.75" customHeight="1" x14ac:dyDescent="0.2">
      <c r="A848" s="28" t="s">
        <v>11</v>
      </c>
      <c r="B848" s="2" t="s">
        <v>29</v>
      </c>
      <c r="C848" s="30">
        <v>0.5</v>
      </c>
      <c r="D848" s="28">
        <f>YEAR(TableauFlitrage[[#This Row],[Date_d_adjudication]])</f>
        <v>2020</v>
      </c>
      <c r="E848" s="28">
        <f t="shared" si="14"/>
        <v>8</v>
      </c>
      <c r="F848" s="15">
        <v>44062</v>
      </c>
      <c r="G848" s="28">
        <v>97.0809</v>
      </c>
      <c r="H848" s="15">
        <v>44246</v>
      </c>
      <c r="I848">
        <v>134.40170000000001</v>
      </c>
      <c r="J848">
        <v>7020</v>
      </c>
      <c r="K848" s="28">
        <v>5.7739000000000003</v>
      </c>
    </row>
    <row r="849" spans="1:12" ht="12.75" customHeight="1" x14ac:dyDescent="0.2">
      <c r="A849" s="28" t="s">
        <v>9</v>
      </c>
      <c r="B849" t="s">
        <v>30</v>
      </c>
      <c r="C849" s="30" t="s">
        <v>54</v>
      </c>
      <c r="D849" s="28">
        <f>YEAR(TableauFlitrage[[#This Row],[Date_d_adjudication]])</f>
        <v>2020</v>
      </c>
      <c r="E849" s="28">
        <f t="shared" si="14"/>
        <v>8</v>
      </c>
      <c r="F849" s="15">
        <v>44062</v>
      </c>
      <c r="G849" s="28">
        <f>8997.19/100</f>
        <v>89.971900000000005</v>
      </c>
      <c r="H849" s="15">
        <v>45110</v>
      </c>
      <c r="I849">
        <v>105.5</v>
      </c>
      <c r="J849">
        <v>20000</v>
      </c>
      <c r="K849" s="28">
        <v>5.75</v>
      </c>
      <c r="L849">
        <v>9.68</v>
      </c>
    </row>
    <row r="850" spans="1:12" ht="12.75" customHeight="1" x14ac:dyDescent="0.2">
      <c r="A850" s="28" t="s">
        <v>9</v>
      </c>
      <c r="B850" t="s">
        <v>30</v>
      </c>
      <c r="C850" s="30" t="s">
        <v>55</v>
      </c>
      <c r="D850" s="28">
        <f>YEAR(TableauFlitrage[[#This Row],[Date_d_adjudication]])</f>
        <v>2020</v>
      </c>
      <c r="E850" s="28">
        <f t="shared" si="14"/>
        <v>8</v>
      </c>
      <c r="F850" s="15">
        <v>44062</v>
      </c>
      <c r="G850" s="28">
        <f>8777.27/100</f>
        <v>87.7727</v>
      </c>
      <c r="H850" s="15">
        <v>45890</v>
      </c>
      <c r="I850">
        <v>100.752</v>
      </c>
      <c r="J850">
        <v>25000</v>
      </c>
      <c r="K850" s="28">
        <v>7</v>
      </c>
      <c r="L850">
        <v>10.18</v>
      </c>
    </row>
    <row r="851" spans="1:12" ht="12.75" customHeight="1" x14ac:dyDescent="0.2">
      <c r="A851" s="28" t="s">
        <v>11</v>
      </c>
      <c r="B851" t="s">
        <v>30</v>
      </c>
      <c r="C851" s="30" t="s">
        <v>55</v>
      </c>
      <c r="D851" s="28">
        <f>YEAR(TableauFlitrage[[#This Row],[Date_d_adjudication]])</f>
        <v>2020</v>
      </c>
      <c r="E851" s="28">
        <f t="shared" si="14"/>
        <v>8</v>
      </c>
      <c r="F851" s="15">
        <v>44062</v>
      </c>
      <c r="G851" s="28">
        <v>100</v>
      </c>
      <c r="H851" s="15">
        <v>45890</v>
      </c>
      <c r="I851">
        <v>78.677199999999999</v>
      </c>
      <c r="J851">
        <v>12190</v>
      </c>
      <c r="K851" s="28">
        <v>5.5</v>
      </c>
      <c r="L851">
        <v>5.5</v>
      </c>
    </row>
    <row r="852" spans="1:12" ht="12.75" customHeight="1" x14ac:dyDescent="0.2">
      <c r="A852" s="28" t="s">
        <v>11</v>
      </c>
      <c r="B852" t="s">
        <v>30</v>
      </c>
      <c r="C852" s="30" t="s">
        <v>56</v>
      </c>
      <c r="D852" s="28">
        <f>YEAR(TableauFlitrage[[#This Row],[Date_d_adjudication]])</f>
        <v>2020</v>
      </c>
      <c r="E852" s="28">
        <f t="shared" si="14"/>
        <v>8</v>
      </c>
      <c r="F852" s="15">
        <v>44062</v>
      </c>
      <c r="G852" s="28">
        <v>100</v>
      </c>
      <c r="H852" s="15">
        <v>45525</v>
      </c>
      <c r="I852">
        <v>78.677199999999999</v>
      </c>
      <c r="J852">
        <v>12190</v>
      </c>
      <c r="K852" s="28">
        <v>5.5</v>
      </c>
      <c r="L852">
        <v>5.5</v>
      </c>
    </row>
    <row r="853" spans="1:12" ht="12.75" customHeight="1" x14ac:dyDescent="0.2">
      <c r="A853" s="28" t="s">
        <v>11</v>
      </c>
      <c r="B853" t="s">
        <v>30</v>
      </c>
      <c r="C853" s="30" t="s">
        <v>54</v>
      </c>
      <c r="D853" s="28">
        <f>YEAR(TableauFlitrage[[#This Row],[Date_d_adjudication]])</f>
        <v>2020</v>
      </c>
      <c r="E853" s="28">
        <f t="shared" si="14"/>
        <v>8</v>
      </c>
      <c r="F853" s="15">
        <v>44062</v>
      </c>
      <c r="G853" s="28">
        <v>100</v>
      </c>
      <c r="H853" s="15">
        <v>45159</v>
      </c>
      <c r="I853">
        <v>95.49</v>
      </c>
      <c r="J853">
        <v>12190</v>
      </c>
      <c r="K853" s="28">
        <v>5.5</v>
      </c>
      <c r="L853">
        <v>5.5</v>
      </c>
    </row>
    <row r="854" spans="1:12" ht="12.75" customHeight="1" x14ac:dyDescent="0.2">
      <c r="A854" s="28" t="s">
        <v>11</v>
      </c>
      <c r="B854" t="s">
        <v>30</v>
      </c>
      <c r="C854" s="30" t="s">
        <v>53</v>
      </c>
      <c r="D854" s="28">
        <f>YEAR(TableauFlitrage[[#This Row],[Date_d_adjudication]])</f>
        <v>2020</v>
      </c>
      <c r="E854" s="28">
        <f t="shared" si="14"/>
        <v>8</v>
      </c>
      <c r="F854" s="15">
        <v>44062</v>
      </c>
      <c r="G854" s="28">
        <v>100</v>
      </c>
      <c r="H854" s="15">
        <v>44794</v>
      </c>
      <c r="I854">
        <v>134.35400000000001</v>
      </c>
      <c r="J854">
        <v>12190</v>
      </c>
      <c r="K854" s="28">
        <v>5</v>
      </c>
      <c r="L854">
        <v>5</v>
      </c>
    </row>
    <row r="855" spans="1:12" ht="12.75" customHeight="1" x14ac:dyDescent="0.2">
      <c r="A855" s="28" t="s">
        <v>11</v>
      </c>
      <c r="B855" s="2" t="s">
        <v>29</v>
      </c>
      <c r="C855" s="30">
        <v>0.5</v>
      </c>
      <c r="D855" s="28">
        <f>YEAR(TableauFlitrage[[#This Row],[Date_d_adjudication]])</f>
        <v>2020</v>
      </c>
      <c r="E855" s="28">
        <f t="shared" si="14"/>
        <v>8</v>
      </c>
      <c r="F855" s="15">
        <v>44069</v>
      </c>
      <c r="G855" s="28">
        <v>96.75</v>
      </c>
      <c r="H855" s="15">
        <v>44253</v>
      </c>
      <c r="I855">
        <v>100</v>
      </c>
      <c r="J855">
        <v>16111</v>
      </c>
      <c r="K855" s="28">
        <v>6.4223999999999997</v>
      </c>
    </row>
    <row r="856" spans="1:12" ht="12.75" customHeight="1" x14ac:dyDescent="0.2">
      <c r="A856" s="28" t="s">
        <v>9</v>
      </c>
      <c r="B856" s="2" t="s">
        <v>29</v>
      </c>
      <c r="C856" s="30">
        <v>0.5</v>
      </c>
      <c r="D856" s="28">
        <f>YEAR(TableauFlitrage[[#This Row],[Date_d_adjudication]])</f>
        <v>2020</v>
      </c>
      <c r="E856" s="28">
        <f t="shared" si="14"/>
        <v>8</v>
      </c>
      <c r="F856" s="15">
        <v>44069</v>
      </c>
      <c r="G856" s="28">
        <v>98.022000000000006</v>
      </c>
      <c r="H856" s="15">
        <v>44253</v>
      </c>
      <c r="I856">
        <v>63.185699999999997</v>
      </c>
      <c r="J856">
        <v>14000</v>
      </c>
      <c r="K856" s="28">
        <v>3.9119999999999999</v>
      </c>
    </row>
    <row r="857" spans="1:12" ht="12.75" customHeight="1" x14ac:dyDescent="0.2">
      <c r="A857" s="28" t="s">
        <v>10</v>
      </c>
      <c r="B857" s="2" t="s">
        <v>29</v>
      </c>
      <c r="C857" s="30">
        <v>1</v>
      </c>
      <c r="D857" s="28">
        <f>YEAR(TableauFlitrage[[#This Row],[Date_d_adjudication]])</f>
        <v>2020</v>
      </c>
      <c r="E857" s="28">
        <f t="shared" si="14"/>
        <v>8</v>
      </c>
      <c r="F857" s="15">
        <v>44069</v>
      </c>
      <c r="G857" s="28">
        <v>92.252499999999998</v>
      </c>
      <c r="H857" s="15">
        <v>44435</v>
      </c>
      <c r="I857">
        <v>133.53229999999999</v>
      </c>
      <c r="J857">
        <v>15000</v>
      </c>
      <c r="K857" s="28">
        <v>7.6623000000000001</v>
      </c>
    </row>
    <row r="858" spans="1:12" ht="12.75" customHeight="1" x14ac:dyDescent="0.2">
      <c r="A858" s="28" t="s">
        <v>8</v>
      </c>
      <c r="B858" t="s">
        <v>30</v>
      </c>
      <c r="C858" s="30" t="s">
        <v>54</v>
      </c>
      <c r="D858" s="28">
        <f>YEAR(TableauFlitrage[[#This Row],[Date_d_adjudication]])</f>
        <v>2020</v>
      </c>
      <c r="E858" s="28">
        <f t="shared" si="14"/>
        <v>8</v>
      </c>
      <c r="F858" s="15">
        <v>44069</v>
      </c>
      <c r="G858" s="28">
        <v>95.233199999999997</v>
      </c>
      <c r="H858" s="15">
        <v>45166</v>
      </c>
      <c r="I858">
        <v>69.828000000000003</v>
      </c>
      <c r="J858">
        <v>25000</v>
      </c>
      <c r="K858" s="28">
        <v>6.2</v>
      </c>
      <c r="L858">
        <v>8.02</v>
      </c>
    </row>
    <row r="859" spans="1:12" ht="12.75" customHeight="1" x14ac:dyDescent="0.2">
      <c r="A859" s="28" t="s">
        <v>7</v>
      </c>
      <c r="B859" s="2" t="s">
        <v>29</v>
      </c>
      <c r="C859" s="30">
        <v>0.5</v>
      </c>
      <c r="D859" s="28">
        <f>YEAR(TableauFlitrage[[#This Row],[Date_d_adjudication]])</f>
        <v>2020</v>
      </c>
      <c r="E859" s="28">
        <f t="shared" si="14"/>
        <v>9</v>
      </c>
      <c r="F859" s="15">
        <v>44076</v>
      </c>
      <c r="G859" s="28">
        <v>98.83</v>
      </c>
      <c r="H859" s="15">
        <v>44260</v>
      </c>
      <c r="I859">
        <v>283</v>
      </c>
      <c r="J859">
        <v>20000</v>
      </c>
      <c r="K859" s="28">
        <v>2.3188</v>
      </c>
    </row>
    <row r="860" spans="1:12" ht="12.75" customHeight="1" x14ac:dyDescent="0.2">
      <c r="A860" s="28" t="s">
        <v>9</v>
      </c>
      <c r="B860" s="2" t="s">
        <v>29</v>
      </c>
      <c r="C860" s="30">
        <v>0.25</v>
      </c>
      <c r="D860" s="28">
        <f>YEAR(TableauFlitrage[[#This Row],[Date_d_adjudication]])</f>
        <v>2020</v>
      </c>
      <c r="E860" s="28">
        <f t="shared" si="14"/>
        <v>9</v>
      </c>
      <c r="F860" s="15">
        <v>44076</v>
      </c>
      <c r="G860" s="28">
        <v>99.036900000000003</v>
      </c>
      <c r="H860" s="15">
        <v>44169</v>
      </c>
      <c r="I860">
        <v>154.28569999999999</v>
      </c>
      <c r="J860">
        <v>17500</v>
      </c>
      <c r="K860" s="28">
        <v>3.81</v>
      </c>
    </row>
    <row r="861" spans="1:12" ht="12.75" customHeight="1" x14ac:dyDescent="0.2">
      <c r="A861" s="28" t="s">
        <v>10</v>
      </c>
      <c r="B861" s="2" t="s">
        <v>29</v>
      </c>
      <c r="C861" s="30">
        <v>1</v>
      </c>
      <c r="D861" s="28">
        <f>YEAR(TableauFlitrage[[#This Row],[Date_d_adjudication]])</f>
        <v>2020</v>
      </c>
      <c r="E861" s="28">
        <f t="shared" si="14"/>
        <v>9</v>
      </c>
      <c r="F861" s="15">
        <v>44076</v>
      </c>
      <c r="G861" s="28">
        <v>91.934700000000007</v>
      </c>
      <c r="H861" s="15">
        <v>44442</v>
      </c>
      <c r="I861">
        <v>80</v>
      </c>
      <c r="J861">
        <v>20000</v>
      </c>
      <c r="K861" s="28">
        <v>7.9767000000000001</v>
      </c>
    </row>
    <row r="862" spans="1:12" ht="12.75" customHeight="1" x14ac:dyDescent="0.2">
      <c r="A862" s="28" t="s">
        <v>11</v>
      </c>
      <c r="B862" s="2" t="s">
        <v>29</v>
      </c>
      <c r="C862" s="30">
        <v>0.5</v>
      </c>
      <c r="D862" s="28">
        <f>YEAR(TableauFlitrage[[#This Row],[Date_d_adjudication]])</f>
        <v>2020</v>
      </c>
      <c r="E862" s="28">
        <f t="shared" si="14"/>
        <v>9</v>
      </c>
      <c r="F862" s="15">
        <v>44076</v>
      </c>
      <c r="G862" s="28">
        <v>96.935479999999998</v>
      </c>
      <c r="H862" s="15">
        <v>44260</v>
      </c>
      <c r="I862">
        <v>130.55770000000001</v>
      </c>
      <c r="J862">
        <v>13090</v>
      </c>
      <c r="K862" s="28">
        <v>6.0617000000000001</v>
      </c>
    </row>
    <row r="863" spans="1:12" ht="12.75" customHeight="1" x14ac:dyDescent="0.2">
      <c r="A863" s="28" t="s">
        <v>9</v>
      </c>
      <c r="B863" s="2" t="s">
        <v>29</v>
      </c>
      <c r="C863" s="30">
        <v>0.5</v>
      </c>
      <c r="D863" s="28">
        <f>YEAR(TableauFlitrage[[#This Row],[Date_d_adjudication]])</f>
        <v>2020</v>
      </c>
      <c r="E863" s="28">
        <f t="shared" si="14"/>
        <v>9</v>
      </c>
      <c r="F863" s="15">
        <v>44083</v>
      </c>
      <c r="G863" s="28">
        <v>97.892916999999997</v>
      </c>
      <c r="H863" s="15">
        <v>44267</v>
      </c>
      <c r="I863">
        <v>160</v>
      </c>
      <c r="J863">
        <v>14000</v>
      </c>
      <c r="K863" s="28">
        <v>4.1679000000000004</v>
      </c>
    </row>
    <row r="864" spans="1:12" ht="12.75" customHeight="1" x14ac:dyDescent="0.2">
      <c r="A864" s="28" t="s">
        <v>11</v>
      </c>
      <c r="B864" s="2" t="s">
        <v>29</v>
      </c>
      <c r="C864" s="30">
        <v>0.5</v>
      </c>
      <c r="D864" s="28">
        <f>YEAR(TableauFlitrage[[#This Row],[Date_d_adjudication]])</f>
        <v>2020</v>
      </c>
      <c r="E864" s="28">
        <f t="shared" si="14"/>
        <v>9</v>
      </c>
      <c r="F864" s="15">
        <v>44083</v>
      </c>
      <c r="G864" s="28">
        <v>96.744347000000005</v>
      </c>
      <c r="H864" s="15">
        <v>44267</v>
      </c>
      <c r="I864">
        <v>97.259200000000007</v>
      </c>
      <c r="J864">
        <v>27255</v>
      </c>
      <c r="K864" s="28">
        <v>6.4398</v>
      </c>
    </row>
    <row r="865" spans="1:12" ht="12.75" customHeight="1" x14ac:dyDescent="0.2">
      <c r="A865" s="28" t="s">
        <v>8</v>
      </c>
      <c r="B865" t="s">
        <v>30</v>
      </c>
      <c r="C865" s="30" t="s">
        <v>53</v>
      </c>
      <c r="D865" s="28">
        <f>YEAR(TableauFlitrage[[#This Row],[Date_d_adjudication]])</f>
        <v>2020</v>
      </c>
      <c r="E865" s="28">
        <f t="shared" si="14"/>
        <v>9</v>
      </c>
      <c r="F865" s="15">
        <v>44083</v>
      </c>
      <c r="G865" s="28">
        <v>91.14</v>
      </c>
      <c r="H865" s="15">
        <v>44815</v>
      </c>
      <c r="I865">
        <v>69.55</v>
      </c>
      <c r="J865">
        <v>20000</v>
      </c>
      <c r="K865" s="28">
        <v>6</v>
      </c>
      <c r="L865">
        <v>11.06</v>
      </c>
    </row>
    <row r="866" spans="1:12" ht="12.75" customHeight="1" x14ac:dyDescent="0.2">
      <c r="A866" s="28" t="s">
        <v>19</v>
      </c>
      <c r="B866" s="2" t="s">
        <v>29</v>
      </c>
      <c r="C866" s="30">
        <v>0.5</v>
      </c>
      <c r="D866" s="28">
        <f>YEAR(TableauFlitrage[[#This Row],[Date_d_adjudication]])</f>
        <v>2020</v>
      </c>
      <c r="E866" s="28">
        <f t="shared" si="14"/>
        <v>9</v>
      </c>
      <c r="F866" s="15">
        <v>44090</v>
      </c>
      <c r="G866" s="28">
        <v>97.253900000000002</v>
      </c>
      <c r="H866" s="15">
        <v>44274</v>
      </c>
      <c r="I866">
        <v>100</v>
      </c>
      <c r="J866">
        <v>5500</v>
      </c>
      <c r="K866" s="28">
        <v>5.43</v>
      </c>
    </row>
    <row r="867" spans="1:12" ht="12.75" customHeight="1" x14ac:dyDescent="0.2">
      <c r="A867" s="28" t="s">
        <v>9</v>
      </c>
      <c r="B867" s="2" t="s">
        <v>29</v>
      </c>
      <c r="C867" s="30">
        <v>0.5</v>
      </c>
      <c r="D867" s="28">
        <f>YEAR(TableauFlitrage[[#This Row],[Date_d_adjudication]])</f>
        <v>2020</v>
      </c>
      <c r="E867" s="28">
        <f t="shared" si="14"/>
        <v>9</v>
      </c>
      <c r="F867" s="15">
        <v>44090</v>
      </c>
      <c r="G867" s="28">
        <v>97.824931000000007</v>
      </c>
      <c r="H867" s="15">
        <v>44274</v>
      </c>
      <c r="I867">
        <v>139.33330000000001</v>
      </c>
      <c r="J867">
        <v>15000</v>
      </c>
      <c r="K867" s="28">
        <v>4.3022999999999998</v>
      </c>
    </row>
    <row r="868" spans="1:12" ht="12.75" customHeight="1" x14ac:dyDescent="0.2">
      <c r="A868" s="28" t="s">
        <v>11</v>
      </c>
      <c r="B868" s="2" t="s">
        <v>29</v>
      </c>
      <c r="C868" s="30">
        <v>0.5</v>
      </c>
      <c r="D868" s="28">
        <f>YEAR(TableauFlitrage[[#This Row],[Date_d_adjudication]])</f>
        <v>2020</v>
      </c>
      <c r="E868" s="28">
        <f t="shared" si="14"/>
        <v>9</v>
      </c>
      <c r="F868" s="15">
        <v>44090</v>
      </c>
      <c r="G868" s="28">
        <v>96.791399999999996</v>
      </c>
      <c r="H868" s="15">
        <v>44274</v>
      </c>
      <c r="I868">
        <v>126.06270000000001</v>
      </c>
      <c r="J868">
        <v>25500</v>
      </c>
      <c r="K868" s="28">
        <v>6.3465999999999996</v>
      </c>
    </row>
    <row r="869" spans="1:12" ht="12.75" customHeight="1" x14ac:dyDescent="0.2">
      <c r="A869" s="28" t="s">
        <v>7</v>
      </c>
      <c r="B869" t="s">
        <v>30</v>
      </c>
      <c r="C869" s="30" t="s">
        <v>54</v>
      </c>
      <c r="D869" s="28">
        <f>YEAR(TableauFlitrage[[#This Row],[Date_d_adjudication]])</f>
        <v>2020</v>
      </c>
      <c r="E869" s="28">
        <f t="shared" si="14"/>
        <v>9</v>
      </c>
      <c r="F869" s="15">
        <v>44090</v>
      </c>
      <c r="G869" s="28">
        <v>99.64</v>
      </c>
      <c r="H869" s="15">
        <v>45187</v>
      </c>
      <c r="I869">
        <v>180.29</v>
      </c>
      <c r="J869">
        <v>30000</v>
      </c>
      <c r="K869" s="28">
        <v>4</v>
      </c>
      <c r="L869">
        <v>4.13</v>
      </c>
    </row>
    <row r="870" spans="1:12" ht="12.75" customHeight="1" x14ac:dyDescent="0.2">
      <c r="A870" s="28" t="s">
        <v>10</v>
      </c>
      <c r="B870" s="2" t="s">
        <v>29</v>
      </c>
      <c r="C870" s="30">
        <v>1</v>
      </c>
      <c r="D870" s="28">
        <f>YEAR(TableauFlitrage[[#This Row],[Date_d_adjudication]])</f>
        <v>2020</v>
      </c>
      <c r="E870" s="28">
        <f t="shared" si="14"/>
        <v>9</v>
      </c>
      <c r="F870" s="15">
        <v>44097</v>
      </c>
      <c r="G870" s="28">
        <v>91.804536999999996</v>
      </c>
      <c r="H870" s="15">
        <v>44463</v>
      </c>
      <c r="I870">
        <v>77.273300000000006</v>
      </c>
      <c r="J870">
        <v>30000</v>
      </c>
      <c r="K870" s="28">
        <v>8.1053999999999995</v>
      </c>
    </row>
    <row r="871" spans="1:12" ht="12.75" customHeight="1" x14ac:dyDescent="0.2">
      <c r="A871" s="28" t="s">
        <v>8</v>
      </c>
      <c r="B871" s="2" t="s">
        <v>29</v>
      </c>
      <c r="C871" s="30">
        <v>0.25</v>
      </c>
      <c r="D871" s="28">
        <f>YEAR(TableauFlitrage[[#This Row],[Date_d_adjudication]])</f>
        <v>2020</v>
      </c>
      <c r="E871" s="28">
        <f t="shared" si="14"/>
        <v>9</v>
      </c>
      <c r="F871" s="15">
        <v>44097</v>
      </c>
      <c r="G871" s="28">
        <v>98.664400000000001</v>
      </c>
      <c r="H871" s="15">
        <v>44190</v>
      </c>
      <c r="I871">
        <v>266.26670000000001</v>
      </c>
      <c r="J871">
        <v>12000</v>
      </c>
      <c r="K871" s="28">
        <v>5.2832999999999997</v>
      </c>
    </row>
    <row r="872" spans="1:12" ht="12.75" customHeight="1" x14ac:dyDescent="0.2">
      <c r="A872" s="28" t="s">
        <v>11</v>
      </c>
      <c r="B872" s="2" t="s">
        <v>29</v>
      </c>
      <c r="C872" s="30">
        <v>0.5</v>
      </c>
      <c r="D872" s="28">
        <f>YEAR(TableauFlitrage[[#This Row],[Date_d_adjudication]])</f>
        <v>2020</v>
      </c>
      <c r="E872" s="28">
        <f t="shared" si="14"/>
        <v>9</v>
      </c>
      <c r="F872" s="15">
        <v>44097</v>
      </c>
      <c r="G872" s="28">
        <v>96.812399999999997</v>
      </c>
      <c r="H872" s="15">
        <v>44281</v>
      </c>
      <c r="I872">
        <v>110</v>
      </c>
      <c r="J872">
        <v>10000</v>
      </c>
      <c r="K872" s="28">
        <v>6.3049999999999997</v>
      </c>
    </row>
    <row r="873" spans="1:12" ht="12.75" customHeight="1" x14ac:dyDescent="0.2">
      <c r="A873" s="28" t="s">
        <v>9</v>
      </c>
      <c r="B873" s="2" t="s">
        <v>29</v>
      </c>
      <c r="C873" s="30">
        <v>0.25</v>
      </c>
      <c r="D873" s="28">
        <f>YEAR(TableauFlitrage[[#This Row],[Date_d_adjudication]])</f>
        <v>2020</v>
      </c>
      <c r="E873" s="28">
        <f t="shared" si="14"/>
        <v>9</v>
      </c>
      <c r="F873" s="15">
        <v>44097</v>
      </c>
      <c r="G873" s="28">
        <v>99.022199999999998</v>
      </c>
      <c r="H873" s="15">
        <v>44190</v>
      </c>
      <c r="I873">
        <v>126.2867</v>
      </c>
      <c r="J873">
        <v>15000</v>
      </c>
      <c r="K873" s="28">
        <v>3.8679999999999999</v>
      </c>
    </row>
    <row r="874" spans="1:12" ht="12.75" customHeight="1" x14ac:dyDescent="0.2">
      <c r="A874" s="28" t="s">
        <v>7</v>
      </c>
      <c r="B874" s="2" t="s">
        <v>29</v>
      </c>
      <c r="C874" s="30">
        <v>0.5</v>
      </c>
      <c r="D874" s="28">
        <f>YEAR(TableauFlitrage[[#This Row],[Date_d_adjudication]])</f>
        <v>2020</v>
      </c>
      <c r="E874" s="28">
        <f t="shared" si="14"/>
        <v>9</v>
      </c>
      <c r="F874" s="15">
        <v>44104</v>
      </c>
      <c r="G874" s="28">
        <v>98.869248999999996</v>
      </c>
      <c r="H874" s="15">
        <v>44288</v>
      </c>
      <c r="I874">
        <v>270.5</v>
      </c>
      <c r="J874">
        <v>20000</v>
      </c>
      <c r="K874" s="28">
        <v>2.2366000000000001</v>
      </c>
    </row>
    <row r="875" spans="1:12" ht="12.75" customHeight="1" x14ac:dyDescent="0.2">
      <c r="A875" s="28" t="s">
        <v>8</v>
      </c>
      <c r="B875" s="2" t="s">
        <v>29</v>
      </c>
      <c r="C875" s="30">
        <v>0.5</v>
      </c>
      <c r="D875" s="28">
        <f>YEAR(TableauFlitrage[[#This Row],[Date_d_adjudication]])</f>
        <v>2020</v>
      </c>
      <c r="E875" s="28">
        <f t="shared" si="14"/>
        <v>9</v>
      </c>
      <c r="F875" s="15">
        <v>44104</v>
      </c>
      <c r="G875" s="28">
        <v>97.394114000000002</v>
      </c>
      <c r="H875" s="15">
        <v>44288</v>
      </c>
      <c r="I875">
        <v>118.2944</v>
      </c>
      <c r="J875">
        <v>18000</v>
      </c>
      <c r="K875" s="28">
        <v>5.1544999999999996</v>
      </c>
    </row>
    <row r="876" spans="1:12" ht="12.75" customHeight="1" x14ac:dyDescent="0.2">
      <c r="A876" s="28" t="s">
        <v>9</v>
      </c>
      <c r="B876" s="2" t="s">
        <v>29</v>
      </c>
      <c r="C876" s="30">
        <v>0.25</v>
      </c>
      <c r="D876" s="28">
        <f>YEAR(TableauFlitrage[[#This Row],[Date_d_adjudication]])</f>
        <v>2020</v>
      </c>
      <c r="E876" s="28">
        <f t="shared" si="14"/>
        <v>9</v>
      </c>
      <c r="F876" s="15">
        <v>44104</v>
      </c>
      <c r="G876" s="28">
        <v>99.137439999999998</v>
      </c>
      <c r="H876" s="15">
        <v>44197</v>
      </c>
      <c r="I876">
        <v>92.166700000000006</v>
      </c>
      <c r="J876">
        <v>12000</v>
      </c>
      <c r="K876" s="28">
        <v>3.9016999999999999</v>
      </c>
    </row>
    <row r="877" spans="1:12" ht="12.75" customHeight="1" x14ac:dyDescent="0.2">
      <c r="A877" s="28" t="s">
        <v>11</v>
      </c>
      <c r="B877" s="2" t="s">
        <v>29</v>
      </c>
      <c r="C877" s="30">
        <v>0.5</v>
      </c>
      <c r="D877" s="28">
        <f>YEAR(TableauFlitrage[[#This Row],[Date_d_adjudication]])</f>
        <v>2020</v>
      </c>
      <c r="E877" s="28">
        <f t="shared" si="14"/>
        <v>9</v>
      </c>
      <c r="F877" s="15">
        <v>44104</v>
      </c>
      <c r="G877" s="28">
        <v>96.749782999999994</v>
      </c>
      <c r="H877" s="15">
        <v>44288</v>
      </c>
      <c r="I877">
        <v>154.5</v>
      </c>
      <c r="J877">
        <v>10000</v>
      </c>
      <c r="K877" s="28">
        <v>6.4290000000000003</v>
      </c>
    </row>
    <row r="878" spans="1:12" ht="12.75" customHeight="1" x14ac:dyDescent="0.2">
      <c r="A878" s="28" t="s">
        <v>8</v>
      </c>
      <c r="B878" t="s">
        <v>30</v>
      </c>
      <c r="C878" s="30" t="s">
        <v>54</v>
      </c>
      <c r="D878" s="28">
        <f>YEAR(TableauFlitrage[[#This Row],[Date_d_adjudication]])</f>
        <v>2020</v>
      </c>
      <c r="E878" s="28">
        <f t="shared" si="14"/>
        <v>9</v>
      </c>
      <c r="F878" s="15">
        <v>44104</v>
      </c>
      <c r="G878" s="28">
        <v>90.099400000000003</v>
      </c>
      <c r="H878" s="15">
        <v>45201</v>
      </c>
      <c r="I878">
        <v>50.05</v>
      </c>
      <c r="J878">
        <v>20000</v>
      </c>
      <c r="K878" s="28">
        <v>6</v>
      </c>
      <c r="L878">
        <v>9.9</v>
      </c>
    </row>
    <row r="879" spans="1:12" ht="12.75" customHeight="1" x14ac:dyDescent="0.2">
      <c r="A879" s="28" t="s">
        <v>9</v>
      </c>
      <c r="B879" s="2" t="s">
        <v>29</v>
      </c>
      <c r="C879" s="30">
        <v>1</v>
      </c>
      <c r="D879" s="28">
        <f>YEAR(TableauFlitrage[[#This Row],[Date_d_adjudication]])</f>
        <v>2020</v>
      </c>
      <c r="E879" s="28">
        <f t="shared" si="14"/>
        <v>10</v>
      </c>
      <c r="F879" s="15">
        <v>44111</v>
      </c>
      <c r="G879" s="28">
        <v>95.373199999999997</v>
      </c>
      <c r="H879" s="15">
        <v>44477</v>
      </c>
      <c r="I879">
        <v>25.818200000000001</v>
      </c>
      <c r="J879">
        <v>11000</v>
      </c>
      <c r="K879" s="28">
        <v>4.5758999999999999</v>
      </c>
    </row>
    <row r="880" spans="1:12" ht="12.75" customHeight="1" x14ac:dyDescent="0.2">
      <c r="A880" s="28" t="s">
        <v>10</v>
      </c>
      <c r="B880" s="2" t="s">
        <v>29</v>
      </c>
      <c r="C880" s="30">
        <v>1</v>
      </c>
      <c r="D880" s="28">
        <f>YEAR(TableauFlitrage[[#This Row],[Date_d_adjudication]])</f>
        <v>2020</v>
      </c>
      <c r="E880" s="28">
        <f t="shared" si="14"/>
        <v>10</v>
      </c>
      <c r="F880" s="15">
        <v>44111</v>
      </c>
      <c r="G880" s="28">
        <v>90.841398999999996</v>
      </c>
      <c r="H880" s="15">
        <v>44477</v>
      </c>
      <c r="I880">
        <v>84.833299999999994</v>
      </c>
      <c r="J880">
        <v>30000</v>
      </c>
      <c r="K880" s="28">
        <v>9.0579999999999998</v>
      </c>
    </row>
    <row r="881" spans="1:12" ht="12.75" customHeight="1" x14ac:dyDescent="0.2">
      <c r="A881" s="28" t="s">
        <v>8</v>
      </c>
      <c r="B881" t="s">
        <v>30</v>
      </c>
      <c r="C881" s="30" t="s">
        <v>54</v>
      </c>
      <c r="D881" s="28">
        <f>YEAR(TableauFlitrage[[#This Row],[Date_d_adjudication]])</f>
        <v>2020</v>
      </c>
      <c r="E881" s="28">
        <f t="shared" si="14"/>
        <v>10</v>
      </c>
      <c r="F881" s="15">
        <v>44111</v>
      </c>
      <c r="G881" s="28">
        <v>90.029700000000005</v>
      </c>
      <c r="H881" s="15">
        <v>45208</v>
      </c>
      <c r="I881">
        <v>40.4</v>
      </c>
      <c r="J881">
        <v>25000</v>
      </c>
      <c r="K881" s="28">
        <v>6</v>
      </c>
      <c r="L881">
        <v>9.92</v>
      </c>
    </row>
    <row r="882" spans="1:12" ht="12.75" customHeight="1" x14ac:dyDescent="0.2">
      <c r="A882" s="28" t="s">
        <v>7</v>
      </c>
      <c r="B882" t="s">
        <v>30</v>
      </c>
      <c r="C882" s="30" t="s">
        <v>57</v>
      </c>
      <c r="D882" s="28">
        <f>YEAR(TableauFlitrage[[#This Row],[Date_d_adjudication]])</f>
        <v>2020</v>
      </c>
      <c r="E882" s="28">
        <f t="shared" si="14"/>
        <v>10</v>
      </c>
      <c r="F882" s="15">
        <v>44111</v>
      </c>
      <c r="G882" s="28">
        <v>97.986400000000003</v>
      </c>
      <c r="H882" s="15">
        <v>46304</v>
      </c>
      <c r="I882">
        <v>102.7786</v>
      </c>
      <c r="J882">
        <v>35000</v>
      </c>
      <c r="K882" s="28">
        <v>6</v>
      </c>
      <c r="L882">
        <v>6.41</v>
      </c>
    </row>
    <row r="883" spans="1:12" ht="12.75" customHeight="1" x14ac:dyDescent="0.2">
      <c r="A883" s="28" t="s">
        <v>9</v>
      </c>
      <c r="B883" s="2" t="s">
        <v>29</v>
      </c>
      <c r="C883" s="30">
        <v>0.5</v>
      </c>
      <c r="D883" s="28">
        <f>YEAR(TableauFlitrage[[#This Row],[Date_d_adjudication]])</f>
        <v>2020</v>
      </c>
      <c r="E883" s="28">
        <f t="shared" si="14"/>
        <v>10</v>
      </c>
      <c r="F883" s="15">
        <v>44118</v>
      </c>
      <c r="G883" s="28">
        <v>97.950824999999995</v>
      </c>
      <c r="H883" s="15">
        <v>44302</v>
      </c>
      <c r="I883">
        <v>197.75</v>
      </c>
      <c r="J883">
        <v>16000</v>
      </c>
      <c r="K883" s="28">
        <v>4.0533000000000001</v>
      </c>
    </row>
    <row r="884" spans="1:12" ht="12.75" customHeight="1" x14ac:dyDescent="0.2">
      <c r="A884" s="28" t="s">
        <v>10</v>
      </c>
      <c r="B884" s="2" t="s">
        <v>29</v>
      </c>
      <c r="C884" s="30">
        <v>1</v>
      </c>
      <c r="D884" s="28">
        <f>YEAR(TableauFlitrage[[#This Row],[Date_d_adjudication]])</f>
        <v>2020</v>
      </c>
      <c r="E884" s="28">
        <f t="shared" si="14"/>
        <v>10</v>
      </c>
      <c r="F884" s="15">
        <v>44118</v>
      </c>
      <c r="G884" s="28">
        <v>91.155860000000004</v>
      </c>
      <c r="H884" s="15">
        <v>44484</v>
      </c>
      <c r="I884">
        <v>55.333300000000001</v>
      </c>
      <c r="J884">
        <v>15000</v>
      </c>
      <c r="K884" s="28">
        <v>8.7469999999999999</v>
      </c>
    </row>
    <row r="885" spans="1:12" ht="12.75" customHeight="1" x14ac:dyDescent="0.2">
      <c r="A885" s="28" t="s">
        <v>11</v>
      </c>
      <c r="B885" s="2" t="s">
        <v>29</v>
      </c>
      <c r="C885" s="30">
        <v>0.5</v>
      </c>
      <c r="D885" s="28">
        <f>YEAR(TableauFlitrage[[#This Row],[Date_d_adjudication]])</f>
        <v>2020</v>
      </c>
      <c r="E885" s="28">
        <f t="shared" si="14"/>
        <v>10</v>
      </c>
      <c r="F885" s="15">
        <v>44118</v>
      </c>
      <c r="G885" s="28">
        <v>96.780500000000004</v>
      </c>
      <c r="H885" s="15">
        <v>44302</v>
      </c>
      <c r="I885">
        <v>111.1601</v>
      </c>
      <c r="J885">
        <v>11120</v>
      </c>
      <c r="K885" s="28">
        <v>6.3681999999999999</v>
      </c>
    </row>
    <row r="886" spans="1:12" ht="12.75" customHeight="1" x14ac:dyDescent="0.2">
      <c r="A886" s="28" t="s">
        <v>9</v>
      </c>
      <c r="B886" s="2" t="s">
        <v>29</v>
      </c>
      <c r="C886" s="30">
        <v>0.25</v>
      </c>
      <c r="D886" s="28">
        <f>YEAR(TableauFlitrage[[#This Row],[Date_d_adjudication]])</f>
        <v>2020</v>
      </c>
      <c r="E886" s="28">
        <f t="shared" ref="E886:E947" si="15">MONTH(F886)</f>
        <v>10</v>
      </c>
      <c r="F886" s="15">
        <v>44125</v>
      </c>
      <c r="G886" s="28">
        <v>99.008200000000002</v>
      </c>
      <c r="H886" s="15">
        <v>44218</v>
      </c>
      <c r="I886">
        <v>121.66670000000001</v>
      </c>
      <c r="J886">
        <v>15000</v>
      </c>
      <c r="K886" s="28">
        <v>3.9232999999999998</v>
      </c>
    </row>
    <row r="887" spans="1:12" ht="12.75" customHeight="1" x14ac:dyDescent="0.2">
      <c r="A887" s="28" t="s">
        <v>8</v>
      </c>
      <c r="B887" s="2" t="s">
        <v>29</v>
      </c>
      <c r="C887" s="30">
        <v>0.5</v>
      </c>
      <c r="D887" s="28">
        <f>YEAR(TableauFlitrage[[#This Row],[Date_d_adjudication]])</f>
        <v>2020</v>
      </c>
      <c r="E887" s="28">
        <f t="shared" si="15"/>
        <v>10</v>
      </c>
      <c r="F887" s="15">
        <v>44125</v>
      </c>
      <c r="G887" s="28">
        <v>97.184899999999999</v>
      </c>
      <c r="H887" s="15">
        <v>44309</v>
      </c>
      <c r="I887">
        <v>47.89</v>
      </c>
      <c r="J887">
        <v>20000</v>
      </c>
      <c r="K887" s="28">
        <v>5.5682</v>
      </c>
    </row>
    <row r="888" spans="1:12" ht="12.75" customHeight="1" x14ac:dyDescent="0.2">
      <c r="A888" s="28" t="s">
        <v>7</v>
      </c>
      <c r="B888" t="s">
        <v>30</v>
      </c>
      <c r="C888" s="30" t="s">
        <v>61</v>
      </c>
      <c r="D888" s="28">
        <f>YEAR(TableauFlitrage[[#This Row],[Date_d_adjudication]])</f>
        <v>2020</v>
      </c>
      <c r="E888" s="28">
        <f t="shared" si="15"/>
        <v>10</v>
      </c>
      <c r="F888" s="15">
        <v>44125</v>
      </c>
      <c r="G888" s="28">
        <v>99.3399</v>
      </c>
      <c r="H888" s="15">
        <v>47779</v>
      </c>
      <c r="I888">
        <v>59.317100000000003</v>
      </c>
      <c r="J888">
        <v>35000</v>
      </c>
      <c r="K888" s="28">
        <v>7</v>
      </c>
      <c r="L888">
        <v>7.09</v>
      </c>
    </row>
    <row r="889" spans="1:12" ht="12.75" customHeight="1" x14ac:dyDescent="0.2">
      <c r="A889" s="28" t="s">
        <v>8</v>
      </c>
      <c r="B889" t="s">
        <v>30</v>
      </c>
      <c r="C889" s="30" t="s">
        <v>53</v>
      </c>
      <c r="D889" s="28">
        <f>YEAR(TableauFlitrage[[#This Row],[Date_d_adjudication]])</f>
        <v>2020</v>
      </c>
      <c r="E889" s="28">
        <f t="shared" si="15"/>
        <v>10</v>
      </c>
      <c r="F889" s="15">
        <v>44125</v>
      </c>
      <c r="G889" s="28">
        <v>91.614199999999997</v>
      </c>
      <c r="H889" s="15">
        <v>44857</v>
      </c>
      <c r="I889">
        <v>96.12</v>
      </c>
      <c r="J889">
        <v>25000</v>
      </c>
      <c r="K889" s="28">
        <v>6</v>
      </c>
      <c r="L889">
        <v>10.77</v>
      </c>
    </row>
    <row r="890" spans="1:12" ht="12.75" customHeight="1" x14ac:dyDescent="0.2">
      <c r="A890" s="28" t="s">
        <v>11</v>
      </c>
      <c r="B890" s="2" t="s">
        <v>29</v>
      </c>
      <c r="C890" s="30">
        <v>0.5</v>
      </c>
      <c r="D890" s="28">
        <f>YEAR(TableauFlitrage[[#This Row],[Date_d_adjudication]])</f>
        <v>2020</v>
      </c>
      <c r="E890" s="28">
        <f t="shared" si="15"/>
        <v>10</v>
      </c>
      <c r="F890" s="15">
        <v>44132</v>
      </c>
      <c r="G890" s="28">
        <v>96.713800000000006</v>
      </c>
      <c r="H890" s="15">
        <v>44316</v>
      </c>
      <c r="I890">
        <v>90</v>
      </c>
      <c r="J890">
        <v>15000</v>
      </c>
      <c r="K890" s="28">
        <v>6.5</v>
      </c>
    </row>
    <row r="891" spans="1:12" ht="12.75" customHeight="1" x14ac:dyDescent="0.2">
      <c r="A891" s="28" t="s">
        <v>10</v>
      </c>
      <c r="B891" s="2" t="s">
        <v>29</v>
      </c>
      <c r="C891" s="30">
        <v>1</v>
      </c>
      <c r="D891" s="28">
        <f>YEAR(TableauFlitrage[[#This Row],[Date_d_adjudication]])</f>
        <v>2020</v>
      </c>
      <c r="E891" s="28">
        <f t="shared" si="15"/>
        <v>10</v>
      </c>
      <c r="F891" s="15">
        <v>44132</v>
      </c>
      <c r="G891" s="28">
        <v>92.183333000000005</v>
      </c>
      <c r="H891" s="15">
        <v>44498</v>
      </c>
      <c r="I891">
        <v>13</v>
      </c>
      <c r="J891">
        <v>20000</v>
      </c>
      <c r="K891" s="28">
        <v>7.7308000000000003</v>
      </c>
    </row>
    <row r="892" spans="1:12" ht="12.75" customHeight="1" x14ac:dyDescent="0.2">
      <c r="A892" s="28" t="s">
        <v>9</v>
      </c>
      <c r="B892" s="2" t="s">
        <v>29</v>
      </c>
      <c r="C892" s="30">
        <v>0.5</v>
      </c>
      <c r="D892" s="28">
        <f>YEAR(TableauFlitrage[[#This Row],[Date_d_adjudication]])</f>
        <v>2020</v>
      </c>
      <c r="E892" s="28">
        <f t="shared" si="15"/>
        <v>10</v>
      </c>
      <c r="F892" s="15">
        <v>44132</v>
      </c>
      <c r="G892" s="28">
        <v>97.722899999999996</v>
      </c>
      <c r="H892" s="15">
        <v>44316</v>
      </c>
      <c r="I892">
        <v>97.66</v>
      </c>
      <c r="J892">
        <v>15000</v>
      </c>
      <c r="K892" s="28">
        <v>4.5002000000000004</v>
      </c>
    </row>
    <row r="893" spans="1:12" ht="12.75" customHeight="1" x14ac:dyDescent="0.2">
      <c r="A893" s="28" t="s">
        <v>8</v>
      </c>
      <c r="B893" t="s">
        <v>30</v>
      </c>
      <c r="C893" s="30" t="s">
        <v>53</v>
      </c>
      <c r="D893" s="28">
        <f>YEAR(TableauFlitrage[[#This Row],[Date_d_adjudication]])</f>
        <v>2020</v>
      </c>
      <c r="E893" s="28">
        <f t="shared" si="15"/>
        <v>10</v>
      </c>
      <c r="F893" s="15">
        <v>44132</v>
      </c>
      <c r="G893" s="28">
        <v>90.011700000000005</v>
      </c>
      <c r="H893" s="15">
        <v>44864</v>
      </c>
      <c r="I893">
        <v>100.13330000000001</v>
      </c>
      <c r="J893">
        <v>15000</v>
      </c>
      <c r="K893" s="28">
        <v>6</v>
      </c>
      <c r="L893">
        <v>11.75</v>
      </c>
    </row>
    <row r="894" spans="1:12" ht="12.75" customHeight="1" x14ac:dyDescent="0.2">
      <c r="A894" s="28" t="s">
        <v>9</v>
      </c>
      <c r="B894" s="2" t="s">
        <v>29</v>
      </c>
      <c r="C894" s="30">
        <v>0.5</v>
      </c>
      <c r="D894" s="28">
        <f>YEAR(TableauFlitrage[[#This Row],[Date_d_adjudication]])</f>
        <v>2020</v>
      </c>
      <c r="E894" s="28">
        <f t="shared" si="15"/>
        <v>11</v>
      </c>
      <c r="F894" s="15">
        <v>44139</v>
      </c>
      <c r="G894" s="28">
        <v>97.581042999999994</v>
      </c>
      <c r="H894" s="15">
        <v>44323</v>
      </c>
      <c r="I894">
        <v>101.9375</v>
      </c>
      <c r="J894">
        <v>8000</v>
      </c>
      <c r="K894" s="28">
        <v>4.7847999999999997</v>
      </c>
    </row>
    <row r="895" spans="1:12" ht="12.75" customHeight="1" x14ac:dyDescent="0.2">
      <c r="A895" s="28" t="s">
        <v>8</v>
      </c>
      <c r="B895" t="s">
        <v>30</v>
      </c>
      <c r="C895" s="30" t="s">
        <v>55</v>
      </c>
      <c r="D895" s="28">
        <f>YEAR(TableauFlitrage[[#This Row],[Date_d_adjudication]])</f>
        <v>2020</v>
      </c>
      <c r="E895" s="28">
        <f t="shared" si="15"/>
        <v>11</v>
      </c>
      <c r="F895" s="15">
        <v>44139</v>
      </c>
      <c r="G895" s="28">
        <v>96.227800000000002</v>
      </c>
      <c r="H895" s="15">
        <v>45966</v>
      </c>
      <c r="I895">
        <v>95.982399999999998</v>
      </c>
      <c r="J895">
        <v>32000</v>
      </c>
      <c r="K895" s="28">
        <v>6.5</v>
      </c>
      <c r="L895">
        <v>7.72</v>
      </c>
    </row>
    <row r="896" spans="1:12" ht="12.75" customHeight="1" x14ac:dyDescent="0.2">
      <c r="A896" s="28" t="s">
        <v>8</v>
      </c>
      <c r="B896" t="s">
        <v>30</v>
      </c>
      <c r="C896" s="30" t="s">
        <v>53</v>
      </c>
      <c r="D896" s="28">
        <f>YEAR(TableauFlitrage[[#This Row],[Date_d_adjudication]])</f>
        <v>2020</v>
      </c>
      <c r="E896" s="28">
        <f t="shared" si="15"/>
        <v>11</v>
      </c>
      <c r="F896" s="15">
        <v>44139</v>
      </c>
      <c r="G896" s="28">
        <v>96.21</v>
      </c>
      <c r="H896" s="15">
        <v>44871</v>
      </c>
      <c r="I896">
        <v>95.982600000000005</v>
      </c>
      <c r="J896">
        <v>32000</v>
      </c>
      <c r="K896" s="28">
        <v>6</v>
      </c>
      <c r="L896">
        <v>8.09</v>
      </c>
    </row>
    <row r="897" spans="1:12" ht="12.75" customHeight="1" x14ac:dyDescent="0.2">
      <c r="A897" s="28" t="s">
        <v>8</v>
      </c>
      <c r="B897" t="s">
        <v>30</v>
      </c>
      <c r="C897" s="30" t="s">
        <v>54</v>
      </c>
      <c r="D897" s="28">
        <f>YEAR(TableauFlitrage[[#This Row],[Date_d_adjudication]])</f>
        <v>2020</v>
      </c>
      <c r="E897" s="28">
        <f t="shared" si="15"/>
        <v>11</v>
      </c>
      <c r="F897" s="15">
        <v>44139</v>
      </c>
      <c r="G897" s="28">
        <v>96.21</v>
      </c>
      <c r="H897" s="15">
        <v>45236</v>
      </c>
      <c r="I897">
        <v>95.982600000000005</v>
      </c>
      <c r="J897">
        <v>32000</v>
      </c>
      <c r="K897" s="28">
        <v>6.3</v>
      </c>
      <c r="L897">
        <v>7.74</v>
      </c>
    </row>
    <row r="898" spans="1:12" ht="12.75" customHeight="1" x14ac:dyDescent="0.2">
      <c r="A898" s="28" t="s">
        <v>7</v>
      </c>
      <c r="B898" s="2" t="s">
        <v>29</v>
      </c>
      <c r="C898" s="30">
        <v>0.5</v>
      </c>
      <c r="D898" s="28">
        <f>YEAR(TableauFlitrage[[#This Row],[Date_d_adjudication]])</f>
        <v>2020</v>
      </c>
      <c r="E898" s="28">
        <f t="shared" si="15"/>
        <v>11</v>
      </c>
      <c r="F898" s="15">
        <v>44146</v>
      </c>
      <c r="G898" s="28">
        <v>98.964117000000002</v>
      </c>
      <c r="H898" s="15">
        <v>44330</v>
      </c>
      <c r="I898">
        <v>259.60000000000002</v>
      </c>
      <c r="J898">
        <v>25000</v>
      </c>
      <c r="K898" s="28">
        <v>2.0489999999999999</v>
      </c>
    </row>
    <row r="899" spans="1:12" ht="12.75" customHeight="1" x14ac:dyDescent="0.2">
      <c r="A899" s="28" t="s">
        <v>19</v>
      </c>
      <c r="B899" s="2" t="s">
        <v>29</v>
      </c>
      <c r="C899" s="30">
        <v>0.5</v>
      </c>
      <c r="D899" s="28">
        <f>YEAR(TableauFlitrage[[#This Row],[Date_d_adjudication]])</f>
        <v>2020</v>
      </c>
      <c r="E899" s="28">
        <f t="shared" si="15"/>
        <v>11</v>
      </c>
      <c r="F899" s="15">
        <v>44146</v>
      </c>
      <c r="G899" s="28">
        <v>97.345832999999999</v>
      </c>
      <c r="H899" s="15">
        <v>44330</v>
      </c>
      <c r="I899">
        <v>100</v>
      </c>
      <c r="J899">
        <v>4000</v>
      </c>
      <c r="K899" s="28">
        <v>5.25</v>
      </c>
    </row>
    <row r="900" spans="1:12" ht="12.75" customHeight="1" x14ac:dyDescent="0.2">
      <c r="A900" s="28" t="s">
        <v>8</v>
      </c>
      <c r="B900" s="2" t="s">
        <v>29</v>
      </c>
      <c r="C900" s="30">
        <v>0.5</v>
      </c>
      <c r="D900" s="28">
        <f>YEAR(TableauFlitrage[[#This Row],[Date_d_adjudication]])</f>
        <v>2020</v>
      </c>
      <c r="E900" s="28">
        <f t="shared" si="15"/>
        <v>11</v>
      </c>
      <c r="F900" s="15">
        <v>44146</v>
      </c>
      <c r="G900" s="28">
        <v>96.906041000000002</v>
      </c>
      <c r="H900" s="15">
        <v>44330</v>
      </c>
      <c r="I900">
        <v>51.25</v>
      </c>
      <c r="J900">
        <v>12000</v>
      </c>
      <c r="K900" s="28">
        <v>6.1199000000000003</v>
      </c>
    </row>
    <row r="901" spans="1:12" ht="12.75" customHeight="1" x14ac:dyDescent="0.2">
      <c r="A901" s="28" t="s">
        <v>9</v>
      </c>
      <c r="B901" s="2" t="s">
        <v>29</v>
      </c>
      <c r="C901" s="30">
        <v>0.5</v>
      </c>
      <c r="D901" s="28">
        <f>YEAR(TableauFlitrage[[#This Row],[Date_d_adjudication]])</f>
        <v>2020</v>
      </c>
      <c r="E901" s="28">
        <f t="shared" si="15"/>
        <v>11</v>
      </c>
      <c r="F901" s="15">
        <v>44146</v>
      </c>
      <c r="G901" s="28">
        <v>97.788194000000004</v>
      </c>
      <c r="H901" s="15">
        <v>44330</v>
      </c>
      <c r="I901">
        <v>191.3</v>
      </c>
      <c r="J901">
        <v>10000</v>
      </c>
      <c r="K901" s="28">
        <v>4.375</v>
      </c>
    </row>
    <row r="902" spans="1:12" ht="12.75" customHeight="1" x14ac:dyDescent="0.2">
      <c r="A902" s="28" t="s">
        <v>10</v>
      </c>
      <c r="B902" s="2" t="s">
        <v>29</v>
      </c>
      <c r="C902" s="30">
        <v>1</v>
      </c>
      <c r="D902" s="28">
        <f>YEAR(TableauFlitrage[[#This Row],[Date_d_adjudication]])</f>
        <v>2020</v>
      </c>
      <c r="E902" s="28">
        <f t="shared" si="15"/>
        <v>11</v>
      </c>
      <c r="F902" s="15">
        <v>44146</v>
      </c>
      <c r="G902" s="28">
        <v>92.233525999999998</v>
      </c>
      <c r="H902" s="15">
        <v>44512</v>
      </c>
      <c r="I902">
        <v>55.954999999999998</v>
      </c>
      <c r="J902">
        <v>20000</v>
      </c>
      <c r="K902" s="28">
        <v>7.6810999999999998</v>
      </c>
    </row>
    <row r="903" spans="1:12" ht="12.75" customHeight="1" x14ac:dyDescent="0.2">
      <c r="A903" s="28" t="s">
        <v>11</v>
      </c>
      <c r="B903" s="2" t="s">
        <v>29</v>
      </c>
      <c r="C903" s="30">
        <v>0.5</v>
      </c>
      <c r="D903" s="28">
        <f>YEAR(TableauFlitrage[[#This Row],[Date_d_adjudication]])</f>
        <v>2020</v>
      </c>
      <c r="E903" s="28">
        <f t="shared" si="15"/>
        <v>11</v>
      </c>
      <c r="F903" s="15">
        <v>44146</v>
      </c>
      <c r="G903" s="28">
        <v>96.782336999999998</v>
      </c>
      <c r="H903" s="15">
        <v>44330</v>
      </c>
      <c r="I903">
        <v>100.0823</v>
      </c>
      <c r="J903">
        <v>18225</v>
      </c>
      <c r="K903" s="28">
        <v>6.3646000000000003</v>
      </c>
    </row>
    <row r="904" spans="1:12" ht="12.75" customHeight="1" x14ac:dyDescent="0.2">
      <c r="A904" s="28" t="s">
        <v>9</v>
      </c>
      <c r="B904" t="s">
        <v>30</v>
      </c>
      <c r="C904" s="30" t="s">
        <v>55</v>
      </c>
      <c r="D904" s="28">
        <f>YEAR(TableauFlitrage[[#This Row],[Date_d_adjudication]])</f>
        <v>2020</v>
      </c>
      <c r="E904" s="28">
        <f t="shared" si="15"/>
        <v>11</v>
      </c>
      <c r="F904" s="15">
        <v>44146</v>
      </c>
      <c r="G904" s="28">
        <v>93.916300000000007</v>
      </c>
      <c r="H904" s="15">
        <v>45925</v>
      </c>
      <c r="I904">
        <v>155.64330000000001</v>
      </c>
      <c r="J904">
        <v>20000</v>
      </c>
      <c r="K904" s="28">
        <v>6.5</v>
      </c>
      <c r="L904">
        <v>8</v>
      </c>
    </row>
    <row r="905" spans="1:12" ht="12.75" customHeight="1" x14ac:dyDescent="0.2">
      <c r="A905" s="28" t="s">
        <v>9</v>
      </c>
      <c r="B905" t="s">
        <v>30</v>
      </c>
      <c r="C905" s="30" t="s">
        <v>54</v>
      </c>
      <c r="D905" s="28">
        <f>YEAR(TableauFlitrage[[#This Row],[Date_d_adjudication]])</f>
        <v>2020</v>
      </c>
      <c r="E905" s="28">
        <f t="shared" si="15"/>
        <v>11</v>
      </c>
      <c r="F905" s="15">
        <v>44146</v>
      </c>
      <c r="G905" s="28">
        <v>94.7393</v>
      </c>
      <c r="H905" s="15">
        <v>45215</v>
      </c>
      <c r="I905">
        <v>100</v>
      </c>
      <c r="J905">
        <v>25000</v>
      </c>
      <c r="K905" s="28">
        <v>5.25</v>
      </c>
      <c r="L905">
        <v>7.23</v>
      </c>
    </row>
    <row r="906" spans="1:12" ht="12.75" customHeight="1" x14ac:dyDescent="0.2">
      <c r="A906" s="28" t="s">
        <v>8</v>
      </c>
      <c r="B906" t="s">
        <v>30</v>
      </c>
      <c r="C906" s="30" t="s">
        <v>53</v>
      </c>
      <c r="D906" s="28">
        <f>YEAR(TableauFlitrage[[#This Row],[Date_d_adjudication]])</f>
        <v>2020</v>
      </c>
      <c r="E906" s="28">
        <f t="shared" si="15"/>
        <v>11</v>
      </c>
      <c r="F906" s="15">
        <v>44146</v>
      </c>
      <c r="G906" s="28">
        <v>90.198300000000003</v>
      </c>
      <c r="H906" s="15">
        <v>44878</v>
      </c>
      <c r="I906">
        <v>101.2513</v>
      </c>
      <c r="J906">
        <v>15000</v>
      </c>
      <c r="K906" s="28">
        <v>6</v>
      </c>
      <c r="L906">
        <v>11.63</v>
      </c>
    </row>
    <row r="907" spans="1:12" ht="12.75" customHeight="1" x14ac:dyDescent="0.2">
      <c r="A907" s="28" t="s">
        <v>11</v>
      </c>
      <c r="B907" s="2" t="s">
        <v>29</v>
      </c>
      <c r="C907" s="30">
        <v>0.5</v>
      </c>
      <c r="D907" s="28">
        <f>YEAR(TableauFlitrage[[#This Row],[Date_d_adjudication]])</f>
        <v>2020</v>
      </c>
      <c r="E907" s="28">
        <f t="shared" si="15"/>
        <v>11</v>
      </c>
      <c r="F907" s="15">
        <v>44153</v>
      </c>
      <c r="G907" s="28">
        <v>96.775122999999994</v>
      </c>
      <c r="H907" s="15">
        <v>44337</v>
      </c>
      <c r="I907">
        <v>100.3775</v>
      </c>
      <c r="J907">
        <v>15893</v>
      </c>
      <c r="K907" s="28">
        <v>6.3788999999999998</v>
      </c>
    </row>
    <row r="908" spans="1:12" ht="12.75" customHeight="1" x14ac:dyDescent="0.2">
      <c r="A908" s="28" t="s">
        <v>9</v>
      </c>
      <c r="B908" s="2" t="s">
        <v>29</v>
      </c>
      <c r="C908" s="30">
        <v>0.25</v>
      </c>
      <c r="D908" s="28">
        <f>YEAR(TableauFlitrage[[#This Row],[Date_d_adjudication]])</f>
        <v>2020</v>
      </c>
      <c r="E908" s="28">
        <f t="shared" si="15"/>
        <v>11</v>
      </c>
      <c r="F908" s="15">
        <v>44153</v>
      </c>
      <c r="G908" s="28">
        <v>99.047618</v>
      </c>
      <c r="H908" s="15">
        <v>44246</v>
      </c>
      <c r="I908">
        <v>220.66669999999999</v>
      </c>
      <c r="J908">
        <v>15000</v>
      </c>
      <c r="K908" s="28">
        <v>3.7677</v>
      </c>
    </row>
    <row r="909" spans="1:12" ht="12.75" customHeight="1" x14ac:dyDescent="0.2">
      <c r="A909" s="28" t="s">
        <v>7</v>
      </c>
      <c r="B909" t="s">
        <v>30</v>
      </c>
      <c r="C909" s="30" t="s">
        <v>53</v>
      </c>
      <c r="D909" s="28">
        <f>YEAR(TableauFlitrage[[#This Row],[Date_d_adjudication]])</f>
        <v>2020</v>
      </c>
      <c r="E909" s="28">
        <f t="shared" si="15"/>
        <v>11</v>
      </c>
      <c r="F909" s="15">
        <v>44153</v>
      </c>
      <c r="G909" s="28">
        <v>99.792900000000003</v>
      </c>
      <c r="H909" s="15">
        <v>44885</v>
      </c>
      <c r="I909">
        <v>86</v>
      </c>
      <c r="J909">
        <v>35000</v>
      </c>
      <c r="K909" s="28">
        <v>3.4</v>
      </c>
      <c r="L909">
        <v>3.51</v>
      </c>
    </row>
    <row r="910" spans="1:12" ht="12.75" customHeight="1" x14ac:dyDescent="0.2">
      <c r="A910" s="28" t="s">
        <v>9</v>
      </c>
      <c r="B910" s="2" t="s">
        <v>29</v>
      </c>
      <c r="C910" s="30">
        <v>0.5</v>
      </c>
      <c r="D910" s="28">
        <f>YEAR(TableauFlitrage[[#This Row],[Date_d_adjudication]])</f>
        <v>2020</v>
      </c>
      <c r="E910" s="28">
        <f t="shared" si="15"/>
        <v>11</v>
      </c>
      <c r="F910" s="15">
        <v>44160</v>
      </c>
      <c r="G910" s="28">
        <v>97.977778000000001</v>
      </c>
      <c r="H910" s="15">
        <v>44344</v>
      </c>
      <c r="I910">
        <v>282</v>
      </c>
      <c r="J910">
        <v>10000</v>
      </c>
      <c r="K910" s="28">
        <v>4</v>
      </c>
    </row>
    <row r="911" spans="1:12" ht="12.75" customHeight="1" x14ac:dyDescent="0.2">
      <c r="A911" s="28" t="s">
        <v>8</v>
      </c>
      <c r="B911" s="2" t="s">
        <v>29</v>
      </c>
      <c r="C911" s="30">
        <v>0.5</v>
      </c>
      <c r="D911" s="28">
        <f>YEAR(TableauFlitrage[[#This Row],[Date_d_adjudication]])</f>
        <v>2020</v>
      </c>
      <c r="E911" s="28">
        <f t="shared" si="15"/>
        <v>11</v>
      </c>
      <c r="F911" s="15">
        <v>44160</v>
      </c>
      <c r="G911" s="28">
        <v>96.995733999999999</v>
      </c>
      <c r="H911" s="15">
        <v>44344</v>
      </c>
      <c r="I911">
        <v>66.308300000000003</v>
      </c>
      <c r="J911">
        <v>12000</v>
      </c>
      <c r="K911" s="28">
        <v>5.9424999999999999</v>
      </c>
    </row>
    <row r="912" spans="1:12" ht="12.75" customHeight="1" x14ac:dyDescent="0.2">
      <c r="A912" s="28" t="s">
        <v>10</v>
      </c>
      <c r="B912" s="2" t="s">
        <v>29</v>
      </c>
      <c r="C912" s="30">
        <v>1</v>
      </c>
      <c r="D912" s="28">
        <f>YEAR(TableauFlitrage[[#This Row],[Date_d_adjudication]])</f>
        <v>2020</v>
      </c>
      <c r="E912" s="28">
        <f t="shared" si="15"/>
        <v>11</v>
      </c>
      <c r="F912" s="15">
        <v>44160</v>
      </c>
      <c r="G912" s="28">
        <v>92.147891999999999</v>
      </c>
      <c r="H912" s="15">
        <v>44526</v>
      </c>
      <c r="I912">
        <v>30.76</v>
      </c>
      <c r="J912">
        <v>30000</v>
      </c>
      <c r="K912" s="28">
        <v>7.7657999999999996</v>
      </c>
    </row>
    <row r="913" spans="1:12" ht="12.75" customHeight="1" x14ac:dyDescent="0.2">
      <c r="A913" s="28" t="s">
        <v>9</v>
      </c>
      <c r="B913" t="s">
        <v>30</v>
      </c>
      <c r="C913" s="30" t="s">
        <v>55</v>
      </c>
      <c r="D913" s="28">
        <f>YEAR(TableauFlitrage[[#This Row],[Date_d_adjudication]])</f>
        <v>2020</v>
      </c>
      <c r="E913" s="28">
        <f t="shared" si="15"/>
        <v>11</v>
      </c>
      <c r="F913" s="15">
        <v>44160</v>
      </c>
      <c r="G913" s="28">
        <v>87.817899999999995</v>
      </c>
      <c r="H913" s="15">
        <v>45988</v>
      </c>
      <c r="I913">
        <v>100</v>
      </c>
      <c r="J913">
        <v>30000</v>
      </c>
      <c r="K913" s="28">
        <v>6.5</v>
      </c>
      <c r="L913">
        <v>9.6300000000000008</v>
      </c>
    </row>
    <row r="914" spans="1:12" ht="12.75" customHeight="1" x14ac:dyDescent="0.2">
      <c r="A914" s="28" t="s">
        <v>9</v>
      </c>
      <c r="B914" t="s">
        <v>30</v>
      </c>
      <c r="C914" s="30" t="s">
        <v>53</v>
      </c>
      <c r="D914" s="28">
        <f>YEAR(TableauFlitrage[[#This Row],[Date_d_adjudication]])</f>
        <v>2020</v>
      </c>
      <c r="E914" s="28">
        <f t="shared" si="15"/>
        <v>11</v>
      </c>
      <c r="F914" s="15">
        <v>44160</v>
      </c>
      <c r="G914" s="28">
        <v>94.104100000000003</v>
      </c>
      <c r="H914" s="15">
        <v>44766</v>
      </c>
      <c r="I914">
        <v>100.3429</v>
      </c>
      <c r="J914">
        <v>17500</v>
      </c>
      <c r="K914" s="28">
        <v>4.75</v>
      </c>
      <c r="L914">
        <v>8</v>
      </c>
    </row>
    <row r="915" spans="1:12" ht="12.75" customHeight="1" x14ac:dyDescent="0.2">
      <c r="A915" s="28" t="s">
        <v>9</v>
      </c>
      <c r="B915" s="2" t="s">
        <v>29</v>
      </c>
      <c r="C915" s="30">
        <v>0.25</v>
      </c>
      <c r="D915" s="28">
        <f>YEAR(TableauFlitrage[[#This Row],[Date_d_adjudication]])</f>
        <v>2020</v>
      </c>
      <c r="E915" s="28">
        <f t="shared" si="15"/>
        <v>12</v>
      </c>
      <c r="F915" s="15">
        <v>44167</v>
      </c>
      <c r="G915" s="28">
        <v>99.095056</v>
      </c>
      <c r="H915" s="15">
        <v>44260</v>
      </c>
      <c r="I915">
        <v>348</v>
      </c>
      <c r="J915">
        <v>10000</v>
      </c>
      <c r="K915" s="28">
        <v>3.58</v>
      </c>
    </row>
    <row r="916" spans="1:12" ht="12.75" customHeight="1" x14ac:dyDescent="0.2">
      <c r="A916" s="28" t="s">
        <v>11</v>
      </c>
      <c r="B916" s="2" t="s">
        <v>29</v>
      </c>
      <c r="C916" s="30">
        <v>0.5</v>
      </c>
      <c r="D916" s="28">
        <f>YEAR(TableauFlitrage[[#This Row],[Date_d_adjudication]])</f>
        <v>2020</v>
      </c>
      <c r="E916" s="28">
        <f t="shared" si="15"/>
        <v>12</v>
      </c>
      <c r="F916" s="15">
        <v>44167</v>
      </c>
      <c r="G916" s="28">
        <v>96.897734</v>
      </c>
      <c r="H916" s="15">
        <v>44351</v>
      </c>
      <c r="I916">
        <v>80.48</v>
      </c>
      <c r="J916">
        <v>22780</v>
      </c>
      <c r="K916" s="28">
        <v>6.1364000000000001</v>
      </c>
    </row>
    <row r="917" spans="1:12" ht="12.75" customHeight="1" x14ac:dyDescent="0.2">
      <c r="A917" s="28" t="s">
        <v>8</v>
      </c>
      <c r="B917" t="s">
        <v>30</v>
      </c>
      <c r="C917" s="30" t="s">
        <v>54</v>
      </c>
      <c r="D917" s="28">
        <f>YEAR(TableauFlitrage[[#This Row],[Date_d_adjudication]])</f>
        <v>2020</v>
      </c>
      <c r="E917" s="28">
        <f t="shared" si="15"/>
        <v>12</v>
      </c>
      <c r="F917" s="15">
        <v>44167</v>
      </c>
      <c r="G917" s="28">
        <v>90.355999999999995</v>
      </c>
      <c r="H917" s="15">
        <v>45264</v>
      </c>
      <c r="I917">
        <v>37.577300000000001</v>
      </c>
      <c r="J917">
        <v>30000</v>
      </c>
      <c r="K917" s="28">
        <v>6</v>
      </c>
      <c r="L917">
        <v>9.7899999999999991</v>
      </c>
    </row>
    <row r="918" spans="1:12" ht="12.75" customHeight="1" x14ac:dyDescent="0.2">
      <c r="A918" s="28" t="s">
        <v>14</v>
      </c>
      <c r="B918" t="s">
        <v>30</v>
      </c>
      <c r="C918" s="30" t="s">
        <v>53</v>
      </c>
      <c r="D918" s="28">
        <f>YEAR(TableauFlitrage[[#This Row],[Date_d_adjudication]])</f>
        <v>2020</v>
      </c>
      <c r="E918" s="28">
        <f t="shared" si="15"/>
        <v>12</v>
      </c>
      <c r="F918" s="15">
        <v>44167</v>
      </c>
      <c r="G918" s="28">
        <v>100</v>
      </c>
      <c r="H918" s="15">
        <v>44899</v>
      </c>
      <c r="I918">
        <v>0</v>
      </c>
      <c r="J918">
        <v>3657.15</v>
      </c>
      <c r="K918" s="28">
        <v>2.95</v>
      </c>
      <c r="L918">
        <v>2.95</v>
      </c>
    </row>
    <row r="919" spans="1:12" ht="12.75" customHeight="1" x14ac:dyDescent="0.2">
      <c r="A919" s="28" t="s">
        <v>14</v>
      </c>
      <c r="B919" t="s">
        <v>30</v>
      </c>
      <c r="C919" s="30" t="s">
        <v>55</v>
      </c>
      <c r="D919" s="28">
        <f>YEAR(TableauFlitrage[[#This Row],[Date_d_adjudication]])</f>
        <v>2020</v>
      </c>
      <c r="E919" s="28">
        <f t="shared" si="15"/>
        <v>12</v>
      </c>
      <c r="F919" s="15">
        <v>44167</v>
      </c>
      <c r="G919" s="28">
        <v>100</v>
      </c>
      <c r="H919" s="15">
        <v>45995</v>
      </c>
      <c r="I919">
        <v>0</v>
      </c>
      <c r="J919">
        <v>3657.16</v>
      </c>
      <c r="K919" s="28">
        <v>2.95</v>
      </c>
      <c r="L919">
        <v>2.95</v>
      </c>
    </row>
    <row r="920" spans="1:12" ht="12.75" customHeight="1" x14ac:dyDescent="0.2">
      <c r="A920" s="28" t="s">
        <v>14</v>
      </c>
      <c r="B920" t="s">
        <v>30</v>
      </c>
      <c r="C920" s="30" t="s">
        <v>54</v>
      </c>
      <c r="D920" s="28">
        <f>YEAR(TableauFlitrage[[#This Row],[Date_d_adjudication]])</f>
        <v>2020</v>
      </c>
      <c r="E920" s="28">
        <f t="shared" si="15"/>
        <v>12</v>
      </c>
      <c r="F920" s="15">
        <v>44167</v>
      </c>
      <c r="G920" s="28">
        <v>100</v>
      </c>
      <c r="H920" s="15">
        <v>45264</v>
      </c>
      <c r="I920">
        <v>0</v>
      </c>
      <c r="J920">
        <v>3657.16</v>
      </c>
      <c r="K920" s="28">
        <v>2.95</v>
      </c>
      <c r="L920">
        <v>2.95</v>
      </c>
    </row>
    <row r="921" spans="1:12" ht="12.75" customHeight="1" x14ac:dyDescent="0.2">
      <c r="A921" s="28" t="s">
        <v>14</v>
      </c>
      <c r="B921" t="s">
        <v>30</v>
      </c>
      <c r="C921" s="30" t="s">
        <v>56</v>
      </c>
      <c r="D921" s="28">
        <f>YEAR(TableauFlitrage[[#This Row],[Date_d_adjudication]])</f>
        <v>2020</v>
      </c>
      <c r="E921" s="28">
        <f t="shared" si="15"/>
        <v>12</v>
      </c>
      <c r="F921" s="15">
        <v>44167</v>
      </c>
      <c r="G921" s="28">
        <v>100</v>
      </c>
      <c r="H921" s="15">
        <v>45630</v>
      </c>
      <c r="I921">
        <v>0</v>
      </c>
      <c r="J921">
        <v>3657.16</v>
      </c>
      <c r="K921" s="28">
        <v>2.95</v>
      </c>
      <c r="L921">
        <v>2.95</v>
      </c>
    </row>
    <row r="922" spans="1:12" ht="12.75" customHeight="1" x14ac:dyDescent="0.2">
      <c r="A922" s="28" t="s">
        <v>14</v>
      </c>
      <c r="B922" t="s">
        <v>30</v>
      </c>
      <c r="C922" s="30" t="s">
        <v>57</v>
      </c>
      <c r="D922" s="28">
        <f>YEAR(TableauFlitrage[[#This Row],[Date_d_adjudication]])</f>
        <v>2020</v>
      </c>
      <c r="E922" s="28">
        <f t="shared" si="15"/>
        <v>12</v>
      </c>
      <c r="F922" s="15">
        <v>44167</v>
      </c>
      <c r="G922" s="28">
        <v>100</v>
      </c>
      <c r="H922" s="15">
        <v>46360</v>
      </c>
      <c r="I922">
        <v>0</v>
      </c>
      <c r="J922">
        <v>1179.5999999999999</v>
      </c>
      <c r="K922" s="28">
        <v>2.95</v>
      </c>
      <c r="L922">
        <v>2.95</v>
      </c>
    </row>
    <row r="923" spans="1:12" ht="12.75" customHeight="1" x14ac:dyDescent="0.2">
      <c r="A923" s="28" t="s">
        <v>9</v>
      </c>
      <c r="B923" s="2" t="s">
        <v>29</v>
      </c>
      <c r="C923" s="30">
        <v>0.5</v>
      </c>
      <c r="D923" s="28">
        <f>YEAR(TableauFlitrage[[#This Row],[Date_d_adjudication]])</f>
        <v>2020</v>
      </c>
      <c r="E923" s="28">
        <f t="shared" si="15"/>
        <v>12</v>
      </c>
      <c r="F923" s="15">
        <v>44174</v>
      </c>
      <c r="G923" s="28">
        <v>98.089949000000004</v>
      </c>
      <c r="H923" s="15">
        <v>44358</v>
      </c>
      <c r="I923">
        <v>66</v>
      </c>
      <c r="J923">
        <v>15000</v>
      </c>
      <c r="K923" s="28">
        <v>3.9363999999999999</v>
      </c>
    </row>
    <row r="924" spans="1:12" ht="12.75" customHeight="1" x14ac:dyDescent="0.2">
      <c r="A924" s="28" t="s">
        <v>10</v>
      </c>
      <c r="B924" s="2" t="s">
        <v>29</v>
      </c>
      <c r="C924" s="30">
        <v>1</v>
      </c>
      <c r="D924" s="28">
        <f>YEAR(TableauFlitrage[[#This Row],[Date_d_adjudication]])</f>
        <v>2020</v>
      </c>
      <c r="E924" s="28">
        <f t="shared" si="15"/>
        <v>12</v>
      </c>
      <c r="F924" s="15">
        <v>44174</v>
      </c>
      <c r="G924" s="28">
        <v>91.472763999999998</v>
      </c>
      <c r="H924" s="15">
        <v>44540</v>
      </c>
      <c r="I924">
        <v>49.045000000000002</v>
      </c>
      <c r="J924">
        <v>20000</v>
      </c>
      <c r="K924" s="28">
        <v>8.4335000000000004</v>
      </c>
    </row>
    <row r="925" spans="1:12" ht="13.5" customHeight="1" x14ac:dyDescent="0.2">
      <c r="A925" s="28" t="s">
        <v>11</v>
      </c>
      <c r="B925" s="2" t="s">
        <v>29</v>
      </c>
      <c r="C925" s="30">
        <v>0.5</v>
      </c>
      <c r="D925" s="28">
        <f>YEAR(TableauFlitrage[[#This Row],[Date_d_adjudication]])</f>
        <v>2020</v>
      </c>
      <c r="E925" s="28">
        <f t="shared" si="15"/>
        <v>12</v>
      </c>
      <c r="F925" s="15">
        <v>44174</v>
      </c>
      <c r="G925" s="28">
        <v>96.795564999999996</v>
      </c>
      <c r="H925" s="15">
        <v>44358</v>
      </c>
      <c r="I925">
        <v>139.18809999999999</v>
      </c>
      <c r="J925">
        <v>6035</v>
      </c>
      <c r="K925" s="28">
        <v>6.3384</v>
      </c>
    </row>
    <row r="926" spans="1:12" ht="12.75" customHeight="1" x14ac:dyDescent="0.2">
      <c r="A926" s="28" t="s">
        <v>7</v>
      </c>
      <c r="B926" t="s">
        <v>30</v>
      </c>
      <c r="C926" s="30" t="s">
        <v>55</v>
      </c>
      <c r="D926" s="28">
        <f>YEAR(TableauFlitrage[[#This Row],[Date_d_adjudication]])</f>
        <v>2020</v>
      </c>
      <c r="E926" s="28">
        <f t="shared" si="15"/>
        <v>12</v>
      </c>
      <c r="F926" s="15">
        <v>44174</v>
      </c>
      <c r="G926" s="28">
        <v>99.068200000000004</v>
      </c>
      <c r="H926" s="15">
        <v>46002</v>
      </c>
      <c r="I926">
        <v>104.25</v>
      </c>
      <c r="J926">
        <v>30000</v>
      </c>
      <c r="K926" s="28">
        <v>5.5</v>
      </c>
      <c r="L926">
        <v>5.72</v>
      </c>
    </row>
    <row r="927" spans="1:12" ht="12.75" customHeight="1" x14ac:dyDescent="0.2">
      <c r="A927" s="28" t="s">
        <v>8</v>
      </c>
      <c r="B927" t="s">
        <v>30</v>
      </c>
      <c r="C927" s="30" t="s">
        <v>53</v>
      </c>
      <c r="D927" s="28">
        <f>YEAR(TableauFlitrage[[#This Row],[Date_d_adjudication]])</f>
        <v>2020</v>
      </c>
      <c r="E927" s="28">
        <f t="shared" si="15"/>
        <v>12</v>
      </c>
      <c r="F927" s="15">
        <v>44174</v>
      </c>
      <c r="G927" s="28">
        <v>90.738100000000003</v>
      </c>
      <c r="H927" s="15">
        <v>44906</v>
      </c>
      <c r="I927">
        <v>93.694999999999993</v>
      </c>
      <c r="J927">
        <v>30000</v>
      </c>
      <c r="K927" s="28">
        <v>6</v>
      </c>
      <c r="L927">
        <v>11.3</v>
      </c>
    </row>
    <row r="928" spans="1:12" ht="12.75" customHeight="1" x14ac:dyDescent="0.2">
      <c r="A928" s="28" t="s">
        <v>9</v>
      </c>
      <c r="B928" t="s">
        <v>30</v>
      </c>
      <c r="C928" s="30" t="s">
        <v>54</v>
      </c>
      <c r="D928" s="28">
        <f>YEAR(TableauFlitrage[[#This Row],[Date_d_adjudication]])</f>
        <v>2020</v>
      </c>
      <c r="E928" s="28">
        <f t="shared" si="15"/>
        <v>12</v>
      </c>
      <c r="F928" s="15">
        <v>44174</v>
      </c>
      <c r="G928" s="28">
        <v>90.11</v>
      </c>
      <c r="H928" s="15">
        <v>45271</v>
      </c>
      <c r="I928">
        <v>22.451699999999999</v>
      </c>
      <c r="J928">
        <v>30000</v>
      </c>
      <c r="K928" s="28">
        <v>5.75</v>
      </c>
      <c r="L928">
        <v>9.6199999999999992</v>
      </c>
    </row>
    <row r="929" spans="1:12" ht="12.75" customHeight="1" x14ac:dyDescent="0.2">
      <c r="A929" s="28" t="s">
        <v>8</v>
      </c>
      <c r="B929" s="2" t="s">
        <v>29</v>
      </c>
      <c r="C929" s="30">
        <v>0.25</v>
      </c>
      <c r="D929" s="28">
        <f>YEAR(TableauFlitrage[[#This Row],[Date_d_adjudication]])</f>
        <v>2020</v>
      </c>
      <c r="E929" s="28">
        <f t="shared" si="15"/>
        <v>12</v>
      </c>
      <c r="F929" s="15">
        <v>44181</v>
      </c>
      <c r="G929" s="28">
        <v>98.555533999999994</v>
      </c>
      <c r="H929" s="15">
        <v>44273</v>
      </c>
      <c r="I929">
        <v>100.1083</v>
      </c>
      <c r="J929">
        <v>12000</v>
      </c>
      <c r="K929" s="28">
        <v>5.7778999999999998</v>
      </c>
    </row>
    <row r="930" spans="1:12" ht="12.75" customHeight="1" x14ac:dyDescent="0.2">
      <c r="A930" s="28" t="s">
        <v>11</v>
      </c>
      <c r="B930" s="2" t="s">
        <v>29</v>
      </c>
      <c r="C930" s="30">
        <v>0.5</v>
      </c>
      <c r="D930" s="28">
        <f>YEAR(TableauFlitrage[[#This Row],[Date_d_adjudication]])</f>
        <v>2020</v>
      </c>
      <c r="E930" s="28">
        <f t="shared" si="15"/>
        <v>12</v>
      </c>
      <c r="F930" s="15">
        <v>44181</v>
      </c>
      <c r="G930" s="28">
        <v>96.848105000000004</v>
      </c>
      <c r="H930" s="15">
        <v>44365</v>
      </c>
      <c r="I930">
        <v>99.8626</v>
      </c>
      <c r="J930">
        <v>36380</v>
      </c>
      <c r="K930" s="28">
        <v>6.2344999999999997</v>
      </c>
    </row>
    <row r="931" spans="1:12" ht="12.75" customHeight="1" x14ac:dyDescent="0.2">
      <c r="A931" s="28" t="s">
        <v>9</v>
      </c>
      <c r="B931" s="2" t="s">
        <v>29</v>
      </c>
      <c r="C931" s="30">
        <v>1</v>
      </c>
      <c r="D931" s="28">
        <f>YEAR(TableauFlitrage[[#This Row],[Date_d_adjudication]])</f>
        <v>2020</v>
      </c>
      <c r="E931" s="28">
        <f t="shared" si="15"/>
        <v>12</v>
      </c>
      <c r="F931" s="15">
        <v>44181</v>
      </c>
      <c r="G931" s="28">
        <v>94.969307999999998</v>
      </c>
      <c r="H931" s="15">
        <v>44547</v>
      </c>
      <c r="I931">
        <v>41.333300000000001</v>
      </c>
      <c r="J931">
        <v>15000</v>
      </c>
      <c r="K931" s="28">
        <v>4.9753999999999996</v>
      </c>
    </row>
    <row r="932" spans="1:12" ht="12.75" customHeight="1" x14ac:dyDescent="0.2">
      <c r="A932" s="28" t="s">
        <v>9</v>
      </c>
      <c r="B932" t="s">
        <v>30</v>
      </c>
      <c r="C932" s="30" t="s">
        <v>54</v>
      </c>
      <c r="D932" s="28">
        <f>YEAR(TableauFlitrage[[#This Row],[Date_d_adjudication]])</f>
        <v>2020</v>
      </c>
      <c r="E932" s="28">
        <f t="shared" si="15"/>
        <v>12</v>
      </c>
      <c r="F932" s="15">
        <v>44181</v>
      </c>
      <c r="G932" s="28">
        <v>93.002200000000002</v>
      </c>
      <c r="H932" s="15">
        <v>45271</v>
      </c>
      <c r="I932">
        <v>37</v>
      </c>
      <c r="J932">
        <v>10000</v>
      </c>
      <c r="K932" s="28">
        <v>5.75</v>
      </c>
      <c r="L932">
        <v>8.44</v>
      </c>
    </row>
    <row r="933" spans="1:12" ht="12.75" customHeight="1" x14ac:dyDescent="0.2">
      <c r="A933" s="28" t="s">
        <v>9</v>
      </c>
      <c r="B933" s="2" t="s">
        <v>29</v>
      </c>
      <c r="C933" s="30">
        <v>0.25</v>
      </c>
      <c r="D933" s="28">
        <f>YEAR(TableauFlitrage[[#This Row],[Date_d_adjudication]])</f>
        <v>2020</v>
      </c>
      <c r="E933" s="28">
        <f t="shared" si="15"/>
        <v>12</v>
      </c>
      <c r="F933" s="15">
        <v>44188</v>
      </c>
      <c r="G933" s="28">
        <v>99.015860000000004</v>
      </c>
      <c r="H933" s="15">
        <v>44281</v>
      </c>
      <c r="I933">
        <v>103.33329999999999</v>
      </c>
      <c r="J933">
        <v>15000</v>
      </c>
      <c r="K933" s="28">
        <v>3.9142000000000001</v>
      </c>
    </row>
    <row r="934" spans="1:12" ht="12.75" customHeight="1" x14ac:dyDescent="0.2">
      <c r="A934" s="28" t="s">
        <v>11</v>
      </c>
      <c r="B934" s="2" t="s">
        <v>29</v>
      </c>
      <c r="C934" s="30">
        <v>0.5</v>
      </c>
      <c r="D934" s="28">
        <f>YEAR(TableauFlitrage[[#This Row],[Date_d_adjudication]])</f>
        <v>2020</v>
      </c>
      <c r="E934" s="28">
        <f t="shared" si="15"/>
        <v>12</v>
      </c>
      <c r="F934" s="15">
        <v>44188</v>
      </c>
      <c r="G934" s="28">
        <v>96.713888999999995</v>
      </c>
      <c r="H934" s="15">
        <v>44372</v>
      </c>
      <c r="I934">
        <v>107.5339</v>
      </c>
      <c r="J934">
        <v>21516</v>
      </c>
      <c r="K934" s="28">
        <v>6.5</v>
      </c>
    </row>
    <row r="935" spans="1:12" ht="12.75" customHeight="1" x14ac:dyDescent="0.2">
      <c r="A935" s="28" t="s">
        <v>7</v>
      </c>
      <c r="B935" s="2" t="s">
        <v>29</v>
      </c>
      <c r="C935" s="30">
        <v>0.5</v>
      </c>
      <c r="D935" s="28">
        <f>YEAR(TableauFlitrage[[#This Row],[Date_d_adjudication]])</f>
        <v>2020</v>
      </c>
      <c r="E935" s="28">
        <f t="shared" si="15"/>
        <v>12</v>
      </c>
      <c r="F935" s="15">
        <v>44188</v>
      </c>
      <c r="G935" s="28">
        <v>98.924289999999999</v>
      </c>
      <c r="H935" s="15">
        <v>44372</v>
      </c>
      <c r="I935">
        <v>94</v>
      </c>
      <c r="J935">
        <v>25000</v>
      </c>
      <c r="K935" s="28">
        <v>2.1278000000000001</v>
      </c>
    </row>
    <row r="936" spans="1:12" ht="12.75" customHeight="1" x14ac:dyDescent="0.2">
      <c r="A936" s="28" t="s">
        <v>8</v>
      </c>
      <c r="B936" t="s">
        <v>30</v>
      </c>
      <c r="C936" s="30" t="s">
        <v>54</v>
      </c>
      <c r="D936" s="28">
        <f>YEAR(TableauFlitrage[[#This Row],[Date_d_adjudication]])</f>
        <v>2020</v>
      </c>
      <c r="E936" s="28">
        <f t="shared" si="15"/>
        <v>12</v>
      </c>
      <c r="F936" s="15">
        <v>44188</v>
      </c>
      <c r="G936" s="28">
        <v>91.168300000000002</v>
      </c>
      <c r="H936" s="15">
        <v>45285</v>
      </c>
      <c r="I936">
        <v>43.6571</v>
      </c>
      <c r="J936">
        <v>35000</v>
      </c>
      <c r="K936" s="28">
        <v>6</v>
      </c>
      <c r="L936">
        <v>9.4499999999999993</v>
      </c>
    </row>
    <row r="937" spans="1:12" ht="12.75" customHeight="1" x14ac:dyDescent="0.2">
      <c r="A937" s="28" t="s">
        <v>9</v>
      </c>
      <c r="B937" t="s">
        <v>30</v>
      </c>
      <c r="C937" s="30" t="s">
        <v>54</v>
      </c>
      <c r="D937" s="28">
        <f>YEAR(TableauFlitrage[[#This Row],[Date_d_adjudication]])</f>
        <v>2020</v>
      </c>
      <c r="E937" s="28">
        <f t="shared" si="15"/>
        <v>12</v>
      </c>
      <c r="F937" s="15">
        <v>44188</v>
      </c>
      <c r="G937" s="28">
        <v>91.254499999999993</v>
      </c>
      <c r="H937" s="15">
        <v>45271</v>
      </c>
      <c r="I937">
        <v>100</v>
      </c>
      <c r="J937">
        <v>15000</v>
      </c>
      <c r="K937" s="28">
        <v>5.75</v>
      </c>
      <c r="L937">
        <v>9.15</v>
      </c>
    </row>
    <row r="938" spans="1:12" ht="12.75" customHeight="1" x14ac:dyDescent="0.2">
      <c r="A938" s="28" t="s">
        <v>9</v>
      </c>
      <c r="B938" t="s">
        <v>30</v>
      </c>
      <c r="C938" s="30" t="s">
        <v>58</v>
      </c>
      <c r="D938" s="28">
        <f>YEAR(TableauFlitrage[[#This Row],[Date_d_adjudication]])</f>
        <v>2020</v>
      </c>
      <c r="E938" s="28">
        <f t="shared" si="15"/>
        <v>12</v>
      </c>
      <c r="F938" s="15">
        <v>44188</v>
      </c>
      <c r="G938" s="28">
        <v>86.179400000000001</v>
      </c>
      <c r="H938" s="15">
        <v>46739</v>
      </c>
      <c r="I938">
        <v>100</v>
      </c>
      <c r="J938">
        <v>40000</v>
      </c>
      <c r="K938" s="28">
        <v>7.5</v>
      </c>
      <c r="L938">
        <v>10.32</v>
      </c>
    </row>
    <row r="939" spans="1:12" ht="12.75" customHeight="1" x14ac:dyDescent="0.2">
      <c r="A939" s="28" t="s">
        <v>9</v>
      </c>
      <c r="B939" t="s">
        <v>30</v>
      </c>
      <c r="C939" s="30" t="s">
        <v>55</v>
      </c>
      <c r="D939" s="28">
        <f>YEAR(TableauFlitrage[[#This Row],[Date_d_adjudication]])</f>
        <v>2020</v>
      </c>
      <c r="E939" s="28">
        <f t="shared" si="15"/>
        <v>12</v>
      </c>
      <c r="F939" s="15">
        <v>44188</v>
      </c>
      <c r="G939" s="28">
        <v>88.8</v>
      </c>
      <c r="H939" s="15">
        <v>46016</v>
      </c>
      <c r="I939">
        <v>25</v>
      </c>
      <c r="J939">
        <v>15000</v>
      </c>
      <c r="K939" s="28">
        <v>6.5</v>
      </c>
      <c r="L939">
        <v>9.36</v>
      </c>
    </row>
    <row r="940" spans="1:12" ht="12.75" customHeight="1" x14ac:dyDescent="0.2">
      <c r="A940" s="28" t="s">
        <v>9</v>
      </c>
      <c r="B940" s="2" t="s">
        <v>29</v>
      </c>
      <c r="C940" s="30">
        <v>0.25</v>
      </c>
      <c r="D940" s="28">
        <f>YEAR(TableauFlitrage[[#This Row],[Date_d_adjudication]])</f>
        <v>2020</v>
      </c>
      <c r="E940" s="28">
        <f t="shared" si="15"/>
        <v>12</v>
      </c>
      <c r="F940" s="15">
        <v>44195</v>
      </c>
      <c r="G940" s="28">
        <v>98.971518000000003</v>
      </c>
      <c r="H940" s="15">
        <v>44288</v>
      </c>
      <c r="I940">
        <v>47.264000000000003</v>
      </c>
      <c r="J940">
        <v>12500</v>
      </c>
      <c r="K940" s="28">
        <v>4.0686999999999998</v>
      </c>
    </row>
    <row r="941" spans="1:12" ht="12.75" customHeight="1" x14ac:dyDescent="0.2">
      <c r="A941" s="28" t="s">
        <v>10</v>
      </c>
      <c r="B941" t="s">
        <v>30</v>
      </c>
      <c r="C941" s="30" t="s">
        <v>53</v>
      </c>
      <c r="D941" s="28">
        <f>YEAR(TableauFlitrage[[#This Row],[Date_d_adjudication]])</f>
        <v>2020</v>
      </c>
      <c r="E941" s="28">
        <f t="shared" si="15"/>
        <v>12</v>
      </c>
      <c r="F941" s="15">
        <v>44196</v>
      </c>
      <c r="G941" s="28">
        <v>100</v>
      </c>
      <c r="H941" s="15">
        <v>44926</v>
      </c>
      <c r="K941" s="28">
        <v>5</v>
      </c>
      <c r="L941" t="s">
        <v>23</v>
      </c>
    </row>
    <row r="942" spans="1:12" ht="12.75" customHeight="1" x14ac:dyDescent="0.2">
      <c r="A942" s="28" t="s">
        <v>10</v>
      </c>
      <c r="B942" t="s">
        <v>30</v>
      </c>
      <c r="C942" s="30" t="s">
        <v>54</v>
      </c>
      <c r="D942" s="28">
        <f>YEAR(TableauFlitrage[[#This Row],[Date_d_adjudication]])</f>
        <v>2020</v>
      </c>
      <c r="E942" s="28">
        <f t="shared" si="15"/>
        <v>12</v>
      </c>
      <c r="F942" s="15">
        <v>44196</v>
      </c>
      <c r="G942" s="28">
        <v>100</v>
      </c>
      <c r="H942" s="15">
        <v>45291</v>
      </c>
      <c r="K942" s="28">
        <v>5</v>
      </c>
      <c r="L942" t="s">
        <v>23</v>
      </c>
    </row>
    <row r="943" spans="1:12" ht="12.75" customHeight="1" x14ac:dyDescent="0.2">
      <c r="A943" s="28" t="s">
        <v>10</v>
      </c>
      <c r="B943" t="s">
        <v>30</v>
      </c>
      <c r="C943" s="30" t="s">
        <v>56</v>
      </c>
      <c r="D943" s="28">
        <f>YEAR(TableauFlitrage[[#This Row],[Date_d_adjudication]])</f>
        <v>2020</v>
      </c>
      <c r="E943" s="28">
        <f t="shared" si="15"/>
        <v>12</v>
      </c>
      <c r="F943" s="15">
        <v>44196</v>
      </c>
      <c r="G943" s="28">
        <v>100</v>
      </c>
      <c r="H943" s="15">
        <v>45657</v>
      </c>
      <c r="K943" s="28">
        <v>5</v>
      </c>
      <c r="L943" t="s">
        <v>23</v>
      </c>
    </row>
    <row r="944" spans="1:12" ht="12.75" customHeight="1" x14ac:dyDescent="0.2">
      <c r="A944" s="28" t="s">
        <v>10</v>
      </c>
      <c r="B944" t="s">
        <v>30</v>
      </c>
      <c r="C944" s="30" t="s">
        <v>55</v>
      </c>
      <c r="D944" s="28">
        <f>YEAR(TableauFlitrage[[#This Row],[Date_d_adjudication]])</f>
        <v>2020</v>
      </c>
      <c r="E944" s="28">
        <f t="shared" si="15"/>
        <v>12</v>
      </c>
      <c r="F944" s="15">
        <v>44196</v>
      </c>
      <c r="G944" s="28">
        <v>100</v>
      </c>
      <c r="H944" s="15">
        <v>46022</v>
      </c>
      <c r="K944" s="28">
        <v>5</v>
      </c>
      <c r="L944" t="s">
        <v>23</v>
      </c>
    </row>
    <row r="945" spans="1:12" ht="12.75" customHeight="1" x14ac:dyDescent="0.2">
      <c r="A945" s="28" t="s">
        <v>10</v>
      </c>
      <c r="B945" t="s">
        <v>30</v>
      </c>
      <c r="C945" s="30" t="s">
        <v>57</v>
      </c>
      <c r="D945" s="28">
        <f>YEAR(TableauFlitrage[[#This Row],[Date_d_adjudication]])</f>
        <v>2020</v>
      </c>
      <c r="E945" s="28">
        <f t="shared" si="15"/>
        <v>12</v>
      </c>
      <c r="F945" s="15">
        <v>44196</v>
      </c>
      <c r="G945" s="28">
        <v>100</v>
      </c>
      <c r="H945" s="15">
        <v>46387</v>
      </c>
      <c r="K945" s="28">
        <v>5</v>
      </c>
      <c r="L945" t="s">
        <v>23</v>
      </c>
    </row>
    <row r="946" spans="1:12" ht="12.75" customHeight="1" x14ac:dyDescent="0.2">
      <c r="A946" s="28" t="s">
        <v>10</v>
      </c>
      <c r="B946" t="s">
        <v>30</v>
      </c>
      <c r="C946" s="30" t="s">
        <v>58</v>
      </c>
      <c r="D946" s="28">
        <f>YEAR(TableauFlitrage[[#This Row],[Date_d_adjudication]])</f>
        <v>2020</v>
      </c>
      <c r="E946" s="28">
        <f t="shared" si="15"/>
        <v>12</v>
      </c>
      <c r="F946" s="15">
        <v>44196</v>
      </c>
      <c r="G946" s="28">
        <v>100</v>
      </c>
      <c r="H946" s="15">
        <v>46752</v>
      </c>
      <c r="K946" s="28">
        <v>5</v>
      </c>
      <c r="L946" t="s">
        <v>23</v>
      </c>
    </row>
    <row r="947" spans="1:12" ht="12.75" customHeight="1" x14ac:dyDescent="0.2">
      <c r="A947" s="28" t="s">
        <v>10</v>
      </c>
      <c r="B947" t="s">
        <v>30</v>
      </c>
      <c r="C947" s="30" t="s">
        <v>59</v>
      </c>
      <c r="D947" s="28">
        <f>YEAR(TableauFlitrage[[#This Row],[Date_d_adjudication]])</f>
        <v>2020</v>
      </c>
      <c r="E947" s="28">
        <f t="shared" si="15"/>
        <v>12</v>
      </c>
      <c r="F947" s="15">
        <v>44196</v>
      </c>
      <c r="G947" s="28">
        <v>100</v>
      </c>
      <c r="H947" s="15">
        <v>47118</v>
      </c>
      <c r="K947" s="28">
        <v>5</v>
      </c>
      <c r="L947" t="s">
        <v>23</v>
      </c>
    </row>
    <row r="948" spans="1:12" ht="12.75" customHeight="1" x14ac:dyDescent="0.2">
      <c r="A948" s="28" t="s">
        <v>10</v>
      </c>
      <c r="B948" t="s">
        <v>30</v>
      </c>
      <c r="C948" s="30" t="s">
        <v>60</v>
      </c>
      <c r="D948" s="28">
        <f>YEAR(TableauFlitrage[[#This Row],[Date_d_adjudication]])</f>
        <v>2020</v>
      </c>
      <c r="E948" s="28">
        <f t="shared" ref="E948:E1011" si="16">MONTH(F948)</f>
        <v>12</v>
      </c>
      <c r="F948" s="15">
        <v>44196</v>
      </c>
      <c r="G948" s="28">
        <v>100</v>
      </c>
      <c r="H948" s="15">
        <v>47483</v>
      </c>
      <c r="K948" s="28">
        <v>5</v>
      </c>
      <c r="L948" t="s">
        <v>23</v>
      </c>
    </row>
    <row r="949" spans="1:12" ht="12.75" customHeight="1" x14ac:dyDescent="0.2">
      <c r="A949" s="28" t="s">
        <v>10</v>
      </c>
      <c r="B949" t="s">
        <v>30</v>
      </c>
      <c r="C949" s="30" t="s">
        <v>61</v>
      </c>
      <c r="D949" s="28">
        <f>YEAR(TableauFlitrage[[#This Row],[Date_d_adjudication]])</f>
        <v>2020</v>
      </c>
      <c r="E949" s="28">
        <f t="shared" si="16"/>
        <v>12</v>
      </c>
      <c r="F949" s="15">
        <v>44196</v>
      </c>
      <c r="G949" s="28">
        <v>100</v>
      </c>
      <c r="H949" s="15">
        <v>47848</v>
      </c>
      <c r="K949" s="28">
        <v>5</v>
      </c>
      <c r="L949" t="s">
        <v>23</v>
      </c>
    </row>
    <row r="950" spans="1:12" ht="12.75" customHeight="1" x14ac:dyDescent="0.2">
      <c r="A950" s="28" t="s">
        <v>10</v>
      </c>
      <c r="B950" t="s">
        <v>30</v>
      </c>
      <c r="C950" s="30" t="s">
        <v>62</v>
      </c>
      <c r="D950" s="28">
        <f>YEAR(TableauFlitrage[[#This Row],[Date_d_adjudication]])</f>
        <v>2020</v>
      </c>
      <c r="E950" s="28">
        <f t="shared" si="16"/>
        <v>12</v>
      </c>
      <c r="F950" s="15">
        <v>44196</v>
      </c>
      <c r="G950" s="28">
        <v>100</v>
      </c>
      <c r="H950" s="15">
        <v>48213</v>
      </c>
      <c r="K950" s="28">
        <v>5</v>
      </c>
      <c r="L950" t="s">
        <v>23</v>
      </c>
    </row>
    <row r="951" spans="1:12" ht="12.75" customHeight="1" x14ac:dyDescent="0.2">
      <c r="A951" s="28" t="s">
        <v>10</v>
      </c>
      <c r="B951" t="s">
        <v>30</v>
      </c>
      <c r="C951" s="30" t="s">
        <v>63</v>
      </c>
      <c r="D951" s="28">
        <f>YEAR(TableauFlitrage[[#This Row],[Date_d_adjudication]])</f>
        <v>2020</v>
      </c>
      <c r="E951" s="28">
        <f t="shared" si="16"/>
        <v>12</v>
      </c>
      <c r="F951" s="15">
        <v>44196</v>
      </c>
      <c r="G951" s="28">
        <v>100</v>
      </c>
      <c r="H951" s="15">
        <v>48579</v>
      </c>
      <c r="K951" s="28">
        <v>5</v>
      </c>
      <c r="L951" t="s">
        <v>23</v>
      </c>
    </row>
    <row r="952" spans="1:12" ht="12.75" customHeight="1" x14ac:dyDescent="0.2">
      <c r="A952" s="28" t="s">
        <v>10</v>
      </c>
      <c r="B952" t="s">
        <v>30</v>
      </c>
      <c r="C952" s="30" t="s">
        <v>64</v>
      </c>
      <c r="D952" s="28">
        <f>YEAR(TableauFlitrage[[#This Row],[Date_d_adjudication]])</f>
        <v>2020</v>
      </c>
      <c r="E952" s="28">
        <f t="shared" si="16"/>
        <v>12</v>
      </c>
      <c r="F952" s="15">
        <v>44196</v>
      </c>
      <c r="G952" s="28">
        <v>100</v>
      </c>
      <c r="H952" s="15">
        <v>48944</v>
      </c>
      <c r="K952" s="28">
        <v>5</v>
      </c>
      <c r="L952" t="s">
        <v>23</v>
      </c>
    </row>
    <row r="953" spans="1:12" ht="12.75" customHeight="1" x14ac:dyDescent="0.2">
      <c r="A953" s="28" t="s">
        <v>10</v>
      </c>
      <c r="B953" t="s">
        <v>30</v>
      </c>
      <c r="C953" s="30" t="s">
        <v>65</v>
      </c>
      <c r="D953" s="28">
        <f>YEAR(TableauFlitrage[[#This Row],[Date_d_adjudication]])</f>
        <v>2020</v>
      </c>
      <c r="E953" s="28">
        <f t="shared" si="16"/>
        <v>12</v>
      </c>
      <c r="F953" s="15">
        <v>44196</v>
      </c>
      <c r="G953" s="28">
        <v>100</v>
      </c>
      <c r="H953" s="15">
        <v>49309</v>
      </c>
      <c r="K953" s="28">
        <v>5</v>
      </c>
      <c r="L953" t="s">
        <v>23</v>
      </c>
    </row>
    <row r="954" spans="1:12" ht="12.75" customHeight="1" x14ac:dyDescent="0.2">
      <c r="A954" s="28" t="s">
        <v>10</v>
      </c>
      <c r="B954" t="s">
        <v>30</v>
      </c>
      <c r="C954" s="30" t="s">
        <v>66</v>
      </c>
      <c r="D954" s="28">
        <f>YEAR(TableauFlitrage[[#This Row],[Date_d_adjudication]])</f>
        <v>2020</v>
      </c>
      <c r="E954" s="28">
        <f t="shared" si="16"/>
        <v>12</v>
      </c>
      <c r="F954" s="15">
        <v>44196</v>
      </c>
      <c r="G954" s="28">
        <v>100</v>
      </c>
      <c r="H954" s="15">
        <v>49674</v>
      </c>
      <c r="K954" s="28">
        <v>5</v>
      </c>
      <c r="L954" t="s">
        <v>23</v>
      </c>
    </row>
    <row r="955" spans="1:12" ht="12.75" customHeight="1" x14ac:dyDescent="0.2">
      <c r="A955" s="28" t="s">
        <v>7</v>
      </c>
      <c r="B955" s="2" t="s">
        <v>29</v>
      </c>
      <c r="C955" s="30">
        <v>0.25</v>
      </c>
      <c r="D955" s="28">
        <f>YEAR(TableauFlitrage[[#This Row],[Date_d_adjudication]])</f>
        <v>2021</v>
      </c>
      <c r="E955" s="28">
        <f t="shared" si="16"/>
        <v>1</v>
      </c>
      <c r="F955" s="15">
        <v>44202</v>
      </c>
      <c r="G955" s="28">
        <v>99.529832999999996</v>
      </c>
      <c r="H955" s="15">
        <v>44295</v>
      </c>
      <c r="I955">
        <v>199.75</v>
      </c>
      <c r="J955">
        <v>10000</v>
      </c>
      <c r="K955" s="28">
        <v>1.86</v>
      </c>
    </row>
    <row r="956" spans="1:12" ht="12.75" customHeight="1" x14ac:dyDescent="0.2">
      <c r="A956" s="28" t="s">
        <v>8</v>
      </c>
      <c r="B956" s="2" t="s">
        <v>29</v>
      </c>
      <c r="C956" s="30">
        <v>0.5</v>
      </c>
      <c r="D956" s="28">
        <f>YEAR(TableauFlitrage[[#This Row],[Date_d_adjudication]])</f>
        <v>2021</v>
      </c>
      <c r="E956" s="28">
        <f t="shared" si="16"/>
        <v>1</v>
      </c>
      <c r="F956" s="15">
        <v>44202</v>
      </c>
      <c r="G956" s="28">
        <v>96.97345</v>
      </c>
      <c r="H956" s="15">
        <v>44386</v>
      </c>
      <c r="I956">
        <v>42.733330000000002</v>
      </c>
      <c r="J956">
        <v>12000</v>
      </c>
      <c r="K956" s="28">
        <v>5.9866000000000001</v>
      </c>
    </row>
    <row r="957" spans="1:12" ht="12.75" customHeight="1" x14ac:dyDescent="0.2">
      <c r="A957" s="28" t="s">
        <v>9</v>
      </c>
      <c r="B957" s="2" t="s">
        <v>29</v>
      </c>
      <c r="C957" s="30">
        <v>0.25</v>
      </c>
      <c r="D957" s="28">
        <f>YEAR(TableauFlitrage[[#This Row],[Date_d_adjudication]])</f>
        <v>2021</v>
      </c>
      <c r="E957" s="28">
        <f t="shared" si="16"/>
        <v>1</v>
      </c>
      <c r="F957" s="15">
        <v>44202</v>
      </c>
      <c r="G957" s="28">
        <v>98.95</v>
      </c>
      <c r="H957" s="15">
        <v>44288</v>
      </c>
      <c r="I957">
        <v>107.6923</v>
      </c>
      <c r="J957">
        <v>6500</v>
      </c>
      <c r="K957" s="28">
        <v>4.5</v>
      </c>
    </row>
    <row r="958" spans="1:12" ht="12.75" customHeight="1" x14ac:dyDescent="0.2">
      <c r="A958" s="28" t="s">
        <v>9</v>
      </c>
      <c r="B958" s="2" t="s">
        <v>29</v>
      </c>
      <c r="C958" s="30">
        <v>0.5</v>
      </c>
      <c r="D958" s="28">
        <f>YEAR(TableauFlitrage[[#This Row],[Date_d_adjudication]])</f>
        <v>2021</v>
      </c>
      <c r="E958" s="28">
        <f t="shared" si="16"/>
        <v>1</v>
      </c>
      <c r="F958" s="15">
        <v>44202</v>
      </c>
      <c r="G958" s="28">
        <v>97.472222000000002</v>
      </c>
      <c r="H958" s="15">
        <v>44386</v>
      </c>
      <c r="I958">
        <v>16</v>
      </c>
      <c r="J958">
        <v>12500</v>
      </c>
      <c r="K958" s="28">
        <v>5</v>
      </c>
    </row>
    <row r="959" spans="1:12" ht="12.75" customHeight="1" x14ac:dyDescent="0.2">
      <c r="A959" s="28" t="s">
        <v>11</v>
      </c>
      <c r="B959" s="2" t="s">
        <v>29</v>
      </c>
      <c r="C959" s="30">
        <v>0.5</v>
      </c>
      <c r="D959" s="28">
        <f>YEAR(TableauFlitrage[[#This Row],[Date_d_adjudication]])</f>
        <v>2021</v>
      </c>
      <c r="E959" s="28">
        <f t="shared" si="16"/>
        <v>1</v>
      </c>
      <c r="F959" s="15">
        <v>44202</v>
      </c>
      <c r="G959" s="28">
        <v>96.773066999999998</v>
      </c>
      <c r="H959" s="15">
        <v>44386</v>
      </c>
      <c r="I959">
        <v>121.819</v>
      </c>
      <c r="J959">
        <v>8543</v>
      </c>
      <c r="K959" s="28">
        <v>6.3829000000000002</v>
      </c>
    </row>
    <row r="960" spans="1:12" ht="15" customHeight="1" x14ac:dyDescent="0.2">
      <c r="A960" s="28" t="s">
        <v>7</v>
      </c>
      <c r="B960" s="2" t="s">
        <v>29</v>
      </c>
      <c r="C960" s="30">
        <v>0.5</v>
      </c>
      <c r="D960" s="28">
        <f>YEAR(TableauFlitrage[[#This Row],[Date_d_adjudication]])</f>
        <v>2021</v>
      </c>
      <c r="E960" s="28">
        <f t="shared" si="16"/>
        <v>1</v>
      </c>
      <c r="F960" s="15">
        <v>44209</v>
      </c>
      <c r="G960" s="28">
        <v>98.915710000000004</v>
      </c>
      <c r="H960" s="15">
        <v>44393</v>
      </c>
      <c r="I960">
        <v>129</v>
      </c>
      <c r="J960">
        <v>20000</v>
      </c>
      <c r="K960" s="28">
        <v>2.1446999999999998</v>
      </c>
    </row>
    <row r="961" spans="1:12" ht="15" customHeight="1" x14ac:dyDescent="0.2">
      <c r="A961" s="28" t="s">
        <v>9</v>
      </c>
      <c r="B961" s="2" t="s">
        <v>29</v>
      </c>
      <c r="C961" s="30">
        <v>0.5</v>
      </c>
      <c r="D961" s="28">
        <f>YEAR(TableauFlitrage[[#This Row],[Date_d_adjudication]])</f>
        <v>2021</v>
      </c>
      <c r="E961" s="28">
        <f t="shared" si="16"/>
        <v>1</v>
      </c>
      <c r="F961" s="15">
        <v>44209</v>
      </c>
      <c r="G961" s="28">
        <v>97.487388999999993</v>
      </c>
      <c r="H961" s="15">
        <v>44393</v>
      </c>
      <c r="I961">
        <v>135.33330000000001</v>
      </c>
      <c r="J961">
        <v>15000</v>
      </c>
      <c r="K961" s="28">
        <v>4.97</v>
      </c>
    </row>
    <row r="962" spans="1:12" ht="15" customHeight="1" x14ac:dyDescent="0.2">
      <c r="A962" s="28" t="s">
        <v>11</v>
      </c>
      <c r="B962" s="2" t="s">
        <v>29</v>
      </c>
      <c r="C962" s="30">
        <v>0.5</v>
      </c>
      <c r="D962" s="28">
        <f>YEAR(TableauFlitrage[[#This Row],[Date_d_adjudication]])</f>
        <v>2021</v>
      </c>
      <c r="E962" s="28">
        <f t="shared" si="16"/>
        <v>1</v>
      </c>
      <c r="F962" s="15">
        <v>44209</v>
      </c>
      <c r="G962" s="28">
        <v>96.779471000000001</v>
      </c>
      <c r="H962" s="15">
        <v>44393</v>
      </c>
      <c r="I962">
        <v>116.6044</v>
      </c>
      <c r="J962">
        <v>12045</v>
      </c>
      <c r="K962" s="28">
        <v>6.3703000000000003</v>
      </c>
    </row>
    <row r="963" spans="1:12" ht="15" customHeight="1" x14ac:dyDescent="0.2">
      <c r="A963" s="28" t="s">
        <v>8</v>
      </c>
      <c r="B963" t="s">
        <v>30</v>
      </c>
      <c r="C963" s="30" t="s">
        <v>53</v>
      </c>
      <c r="D963" s="28">
        <f>YEAR(TableauFlitrage[[#This Row],[Date_d_adjudication]])</f>
        <v>2021</v>
      </c>
      <c r="E963" s="28">
        <f t="shared" si="16"/>
        <v>1</v>
      </c>
      <c r="F963" s="15">
        <v>44209</v>
      </c>
      <c r="G963" s="28">
        <v>91.782200000000003</v>
      </c>
      <c r="H963" s="15">
        <v>44941</v>
      </c>
      <c r="I963">
        <v>34.648699999999998</v>
      </c>
      <c r="J963">
        <v>30000</v>
      </c>
      <c r="K963" s="28">
        <v>5.75</v>
      </c>
      <c r="L963">
        <v>10.41</v>
      </c>
    </row>
    <row r="964" spans="1:12" ht="12.75" customHeight="1" x14ac:dyDescent="0.2">
      <c r="A964" s="28" t="s">
        <v>10</v>
      </c>
      <c r="B964" s="2" t="s">
        <v>29</v>
      </c>
      <c r="C964" s="30">
        <v>1</v>
      </c>
      <c r="D964" s="28">
        <f>YEAR(TableauFlitrage[[#This Row],[Date_d_adjudication]])</f>
        <v>2021</v>
      </c>
      <c r="E964" s="28">
        <f t="shared" si="16"/>
        <v>1</v>
      </c>
      <c r="F964" s="15">
        <v>44216</v>
      </c>
      <c r="G964" s="28">
        <v>91.528271000000004</v>
      </c>
      <c r="H964" s="15">
        <v>44582</v>
      </c>
      <c r="I964">
        <v>127.2067</v>
      </c>
      <c r="J964">
        <v>15000</v>
      </c>
      <c r="K964" s="28">
        <v>8.3786000000000005</v>
      </c>
    </row>
    <row r="965" spans="1:12" ht="12.75" customHeight="1" x14ac:dyDescent="0.2">
      <c r="A965" s="28" t="s">
        <v>8</v>
      </c>
      <c r="B965" s="2" t="s">
        <v>29</v>
      </c>
      <c r="C965" s="30">
        <v>0.5</v>
      </c>
      <c r="D965" s="28">
        <f>YEAR(TableauFlitrage[[#This Row],[Date_d_adjudication]])</f>
        <v>2021</v>
      </c>
      <c r="E965" s="28">
        <f t="shared" si="16"/>
        <v>1</v>
      </c>
      <c r="F965" s="15">
        <v>44216</v>
      </c>
      <c r="G965" s="28">
        <v>96.916701000000003</v>
      </c>
      <c r="H965" s="15">
        <v>44400</v>
      </c>
      <c r="I965">
        <v>115.4667</v>
      </c>
      <c r="J965">
        <v>15000</v>
      </c>
      <c r="K965" s="28">
        <v>6.0987999999999998</v>
      </c>
    </row>
    <row r="966" spans="1:12" ht="12.75" customHeight="1" x14ac:dyDescent="0.2">
      <c r="A966" s="28" t="s">
        <v>9</v>
      </c>
      <c r="B966" s="2" t="s">
        <v>29</v>
      </c>
      <c r="C966" s="30">
        <v>0.25</v>
      </c>
      <c r="D966" s="28">
        <f>YEAR(TableauFlitrage[[#This Row],[Date_d_adjudication]])</f>
        <v>2021</v>
      </c>
      <c r="E966" s="28">
        <f t="shared" si="16"/>
        <v>1</v>
      </c>
      <c r="F966" s="15">
        <v>44216</v>
      </c>
      <c r="G966" s="28">
        <v>98.854073999999997</v>
      </c>
      <c r="H966" s="15">
        <v>44309</v>
      </c>
      <c r="I966">
        <v>75</v>
      </c>
      <c r="J966">
        <v>15000</v>
      </c>
      <c r="K966" s="28">
        <v>4.5332999999999997</v>
      </c>
    </row>
    <row r="967" spans="1:12" ht="12.75" customHeight="1" x14ac:dyDescent="0.2">
      <c r="A967" s="28" t="s">
        <v>9</v>
      </c>
      <c r="B967" s="2" t="s">
        <v>29</v>
      </c>
      <c r="C967" s="30">
        <v>0.5</v>
      </c>
      <c r="D967" s="28">
        <f>YEAR(TableauFlitrage[[#This Row],[Date_d_adjudication]])</f>
        <v>2021</v>
      </c>
      <c r="E967" s="28">
        <f t="shared" si="16"/>
        <v>1</v>
      </c>
      <c r="F967" s="15">
        <v>44216</v>
      </c>
      <c r="G967" s="28">
        <v>97.680667</v>
      </c>
      <c r="H967" s="15">
        <v>44386</v>
      </c>
      <c r="I967">
        <v>110</v>
      </c>
      <c r="J967">
        <v>10000</v>
      </c>
      <c r="K967" s="28">
        <v>4.97</v>
      </c>
    </row>
    <row r="968" spans="1:12" ht="12.75" customHeight="1" x14ac:dyDescent="0.2">
      <c r="A968" s="28" t="s">
        <v>11</v>
      </c>
      <c r="B968" s="2" t="s">
        <v>29</v>
      </c>
      <c r="C968" s="30">
        <v>0.5</v>
      </c>
      <c r="D968" s="28">
        <f>YEAR(TableauFlitrage[[#This Row],[Date_d_adjudication]])</f>
        <v>2021</v>
      </c>
      <c r="E968" s="28">
        <f t="shared" si="16"/>
        <v>1</v>
      </c>
      <c r="F968" s="15">
        <v>44216</v>
      </c>
      <c r="G968" s="28">
        <v>96.713888999999995</v>
      </c>
      <c r="H968" s="15">
        <v>44400</v>
      </c>
      <c r="I968">
        <v>48.414400000000001</v>
      </c>
      <c r="J968">
        <v>4131</v>
      </c>
      <c r="K968" s="28">
        <v>6.5</v>
      </c>
    </row>
    <row r="969" spans="1:12" ht="12.75" customHeight="1" x14ac:dyDescent="0.2">
      <c r="A969" s="28" t="s">
        <v>9</v>
      </c>
      <c r="B969" t="s">
        <v>30</v>
      </c>
      <c r="C969" s="30" t="s">
        <v>53</v>
      </c>
      <c r="D969" s="28">
        <f>YEAR(TableauFlitrage[[#This Row],[Date_d_adjudication]])</f>
        <v>2021</v>
      </c>
      <c r="E969" s="28">
        <f t="shared" si="16"/>
        <v>1</v>
      </c>
      <c r="F969" s="15">
        <v>44216</v>
      </c>
      <c r="G969" s="28">
        <v>90.513300000000001</v>
      </c>
      <c r="H969" s="15">
        <v>44948</v>
      </c>
      <c r="I969">
        <v>100</v>
      </c>
      <c r="J969">
        <v>15000</v>
      </c>
      <c r="K969" s="28">
        <v>4.5</v>
      </c>
      <c r="L969">
        <v>9.84</v>
      </c>
    </row>
    <row r="970" spans="1:12" ht="12.75" customHeight="1" x14ac:dyDescent="0.2">
      <c r="A970" s="28" t="s">
        <v>9</v>
      </c>
      <c r="B970" t="s">
        <v>30</v>
      </c>
      <c r="C970" s="30" t="s">
        <v>54</v>
      </c>
      <c r="D970" s="28">
        <f>YEAR(TableauFlitrage[[#This Row],[Date_d_adjudication]])</f>
        <v>2021</v>
      </c>
      <c r="E970" s="28">
        <f t="shared" si="16"/>
        <v>1</v>
      </c>
      <c r="F970" s="15">
        <v>44216</v>
      </c>
      <c r="G970" s="28">
        <v>90.382400000000004</v>
      </c>
      <c r="H970" s="15">
        <v>45313</v>
      </c>
      <c r="I970">
        <v>28.24</v>
      </c>
      <c r="J970">
        <v>25000</v>
      </c>
      <c r="K970" s="28">
        <v>5.5</v>
      </c>
      <c r="L970">
        <v>9.24</v>
      </c>
    </row>
    <row r="971" spans="1:12" ht="12.75" customHeight="1" x14ac:dyDescent="0.2">
      <c r="A971" s="28" t="s">
        <v>7</v>
      </c>
      <c r="B971" s="2" t="s">
        <v>29</v>
      </c>
      <c r="C971" s="30">
        <v>1</v>
      </c>
      <c r="D971" s="28">
        <f>YEAR(TableauFlitrage[[#This Row],[Date_d_adjudication]])</f>
        <v>2021</v>
      </c>
      <c r="E971" s="28">
        <f t="shared" si="16"/>
        <v>1</v>
      </c>
      <c r="F971" s="15">
        <v>44223</v>
      </c>
      <c r="G971" s="28">
        <v>97.365380999999999</v>
      </c>
      <c r="H971" s="15">
        <v>44589</v>
      </c>
      <c r="I971">
        <v>146</v>
      </c>
      <c r="J971">
        <v>15000</v>
      </c>
      <c r="K971" s="28">
        <v>2.6057000000000001</v>
      </c>
    </row>
    <row r="972" spans="1:12" ht="12.75" customHeight="1" x14ac:dyDescent="0.2">
      <c r="A972" s="28" t="s">
        <v>11</v>
      </c>
      <c r="B972" s="2" t="s">
        <v>29</v>
      </c>
      <c r="C972" s="30">
        <v>0.5</v>
      </c>
      <c r="D972" s="28">
        <f>YEAR(TableauFlitrage[[#This Row],[Date_d_adjudication]])</f>
        <v>2021</v>
      </c>
      <c r="E972" s="28">
        <f t="shared" si="16"/>
        <v>1</v>
      </c>
      <c r="F972" s="15">
        <v>44223</v>
      </c>
      <c r="G972" s="28">
        <v>96.823497000000003</v>
      </c>
      <c r="H972" s="15">
        <v>44407</v>
      </c>
      <c r="I972">
        <v>100</v>
      </c>
      <c r="J972">
        <v>7592</v>
      </c>
      <c r="K972" s="28">
        <v>6.2831999999999999</v>
      </c>
    </row>
    <row r="973" spans="1:12" ht="12.75" customHeight="1" x14ac:dyDescent="0.2">
      <c r="A973" s="28" t="s">
        <v>8</v>
      </c>
      <c r="B973" t="s">
        <v>30</v>
      </c>
      <c r="C973" s="30" t="s">
        <v>53</v>
      </c>
      <c r="D973" s="28">
        <f>YEAR(TableauFlitrage[[#This Row],[Date_d_adjudication]])</f>
        <v>2021</v>
      </c>
      <c r="E973" s="28">
        <f t="shared" si="16"/>
        <v>1</v>
      </c>
      <c r="F973" s="15">
        <v>44223</v>
      </c>
      <c r="G973" s="28">
        <v>93.749899999999997</v>
      </c>
      <c r="H973" s="15">
        <v>44955</v>
      </c>
      <c r="I973">
        <v>109.1425</v>
      </c>
      <c r="J973">
        <v>40000</v>
      </c>
      <c r="K973" s="28">
        <v>6</v>
      </c>
      <c r="L973">
        <v>9.51</v>
      </c>
    </row>
    <row r="974" spans="1:12" ht="12.75" customHeight="1" x14ac:dyDescent="0.2">
      <c r="A974" s="28" t="s">
        <v>8</v>
      </c>
      <c r="B974" t="s">
        <v>30</v>
      </c>
      <c r="C974" s="30" t="s">
        <v>54</v>
      </c>
      <c r="D974" s="28">
        <f>YEAR(TableauFlitrage[[#This Row],[Date_d_adjudication]])</f>
        <v>2021</v>
      </c>
      <c r="E974" s="28">
        <f t="shared" si="16"/>
        <v>1</v>
      </c>
      <c r="F974" s="15">
        <v>44223</v>
      </c>
      <c r="G974" s="28">
        <v>94</v>
      </c>
      <c r="H974" s="15">
        <v>45320</v>
      </c>
      <c r="I974">
        <v>37.744999999999997</v>
      </c>
      <c r="J974">
        <v>40000</v>
      </c>
      <c r="K974" s="28">
        <v>6.1</v>
      </c>
      <c r="L974">
        <v>8.4</v>
      </c>
    </row>
    <row r="975" spans="1:12" ht="15" customHeight="1" x14ac:dyDescent="0.2">
      <c r="A975" s="28" t="s">
        <v>8</v>
      </c>
      <c r="B975" t="s">
        <v>30</v>
      </c>
      <c r="C975" s="30" t="s">
        <v>56</v>
      </c>
      <c r="D975" s="28">
        <f>YEAR(TableauFlitrage[[#This Row],[Date_d_adjudication]])</f>
        <v>2021</v>
      </c>
      <c r="E975" s="28">
        <f t="shared" si="16"/>
        <v>1</v>
      </c>
      <c r="F975" s="15">
        <v>44223</v>
      </c>
      <c r="G975" s="28">
        <v>94</v>
      </c>
      <c r="H975" s="15">
        <v>45686</v>
      </c>
      <c r="I975">
        <v>20.231999999999999</v>
      </c>
      <c r="J975">
        <v>25000</v>
      </c>
      <c r="K975" s="28">
        <v>6.2</v>
      </c>
      <c r="L975">
        <v>7.98</v>
      </c>
    </row>
    <row r="976" spans="1:12" ht="15.75" customHeight="1" x14ac:dyDescent="0.2">
      <c r="A976" s="28" t="s">
        <v>8</v>
      </c>
      <c r="B976" s="2" t="s">
        <v>29</v>
      </c>
      <c r="C976" s="30">
        <v>1</v>
      </c>
      <c r="D976" s="28">
        <f>YEAR(TableauFlitrage[[#This Row],[Date_d_adjudication]])</f>
        <v>2021</v>
      </c>
      <c r="E976" s="28">
        <f t="shared" si="16"/>
        <v>2</v>
      </c>
      <c r="F976" s="15">
        <v>44230</v>
      </c>
      <c r="G976" s="28">
        <v>93.744611000000006</v>
      </c>
      <c r="H976" s="15">
        <v>44596</v>
      </c>
      <c r="I976">
        <v>50.045499999999997</v>
      </c>
      <c r="J976">
        <v>11000</v>
      </c>
      <c r="K976" s="28">
        <v>6.1866000000000003</v>
      </c>
    </row>
    <row r="977" spans="1:12" ht="15" customHeight="1" x14ac:dyDescent="0.2">
      <c r="A977" s="28" t="s">
        <v>9</v>
      </c>
      <c r="B977" s="2" t="s">
        <v>29</v>
      </c>
      <c r="C977" s="30">
        <v>0.5</v>
      </c>
      <c r="D977" s="28">
        <f>YEAR(TableauFlitrage[[#This Row],[Date_d_adjudication]])</f>
        <v>2021</v>
      </c>
      <c r="E977" s="28">
        <f t="shared" si="16"/>
        <v>2</v>
      </c>
      <c r="F977" s="15">
        <v>44230</v>
      </c>
      <c r="G977" s="28">
        <v>97.521725000000004</v>
      </c>
      <c r="H977" s="15">
        <v>44414</v>
      </c>
      <c r="I977">
        <v>132.4667</v>
      </c>
      <c r="J977">
        <v>12000</v>
      </c>
      <c r="K977" s="28">
        <v>4.9020999999999999</v>
      </c>
    </row>
    <row r="978" spans="1:12" ht="15" customHeight="1" x14ac:dyDescent="0.2">
      <c r="A978" s="28" t="s">
        <v>10</v>
      </c>
      <c r="B978" s="2" t="s">
        <v>29</v>
      </c>
      <c r="C978" s="30">
        <v>1</v>
      </c>
      <c r="D978" s="28">
        <f>YEAR(TableauFlitrage[[#This Row],[Date_d_adjudication]])</f>
        <v>2021</v>
      </c>
      <c r="E978" s="28">
        <f t="shared" si="16"/>
        <v>2</v>
      </c>
      <c r="F978" s="15">
        <v>44230</v>
      </c>
      <c r="G978" s="28">
        <v>91.644852</v>
      </c>
      <c r="H978" s="15">
        <v>44596</v>
      </c>
      <c r="I978">
        <v>123.33329999999999</v>
      </c>
      <c r="J978">
        <v>15000</v>
      </c>
      <c r="K978" s="28">
        <v>8.2632999999999992</v>
      </c>
    </row>
    <row r="979" spans="1:12" ht="15" customHeight="1" x14ac:dyDescent="0.2">
      <c r="A979" s="28" t="s">
        <v>11</v>
      </c>
      <c r="B979" s="2" t="s">
        <v>29</v>
      </c>
      <c r="C979" s="30">
        <v>0.5</v>
      </c>
      <c r="D979" s="28">
        <f>YEAR(TableauFlitrage[[#This Row],[Date_d_adjudication]])</f>
        <v>2021</v>
      </c>
      <c r="E979" s="28">
        <f t="shared" si="16"/>
        <v>2</v>
      </c>
      <c r="F979" s="15">
        <v>44230</v>
      </c>
      <c r="G979" s="28">
        <v>96.752163999999993</v>
      </c>
      <c r="H979" s="15">
        <v>44414</v>
      </c>
      <c r="I979">
        <v>154.3331</v>
      </c>
      <c r="J979">
        <v>8262</v>
      </c>
      <c r="K979" s="28">
        <v>6.4242999999999997</v>
      </c>
    </row>
    <row r="980" spans="1:12" ht="15" customHeight="1" x14ac:dyDescent="0.2">
      <c r="A980" s="28" t="s">
        <v>7</v>
      </c>
      <c r="B980" s="2" t="s">
        <v>29</v>
      </c>
      <c r="C980" s="30">
        <v>0.5</v>
      </c>
      <c r="D980" s="28">
        <f>YEAR(TableauFlitrage[[#This Row],[Date_d_adjudication]])</f>
        <v>2021</v>
      </c>
      <c r="E980" s="28">
        <f t="shared" si="16"/>
        <v>2</v>
      </c>
      <c r="F980" s="15">
        <v>44230</v>
      </c>
      <c r="G980" s="28">
        <v>98.907747000000001</v>
      </c>
      <c r="H980" s="15">
        <v>44421</v>
      </c>
      <c r="I980">
        <v>190</v>
      </c>
      <c r="J980">
        <v>20000</v>
      </c>
      <c r="K980" s="28">
        <v>2.1604999999999999</v>
      </c>
    </row>
    <row r="981" spans="1:12" ht="15" customHeight="1" x14ac:dyDescent="0.2">
      <c r="A981" s="28" t="s">
        <v>8</v>
      </c>
      <c r="B981" t="s">
        <v>30</v>
      </c>
      <c r="C981" s="30" t="s">
        <v>53</v>
      </c>
      <c r="D981" s="28">
        <f>YEAR(TableauFlitrage[[#This Row],[Date_d_adjudication]])</f>
        <v>2021</v>
      </c>
      <c r="E981" s="28">
        <f t="shared" si="16"/>
        <v>2</v>
      </c>
      <c r="F981" s="15">
        <v>44230</v>
      </c>
      <c r="G981" s="28">
        <v>92.981700000000004</v>
      </c>
      <c r="H981" s="15">
        <v>44955</v>
      </c>
      <c r="I981">
        <v>171.066</v>
      </c>
      <c r="J981">
        <v>15000</v>
      </c>
      <c r="K981" s="28">
        <v>6</v>
      </c>
      <c r="L981">
        <v>9.9600000000000009</v>
      </c>
    </row>
    <row r="982" spans="1:12" ht="15" customHeight="1" x14ac:dyDescent="0.2">
      <c r="A982" s="28" t="s">
        <v>8</v>
      </c>
      <c r="B982" t="s">
        <v>30</v>
      </c>
      <c r="C982" s="30" t="s">
        <v>54</v>
      </c>
      <c r="D982" s="28">
        <f>YEAR(TableauFlitrage[[#This Row],[Date_d_adjudication]])</f>
        <v>2021</v>
      </c>
      <c r="E982" s="28">
        <f t="shared" si="16"/>
        <v>2</v>
      </c>
      <c r="F982" s="15">
        <v>44230</v>
      </c>
      <c r="G982" s="28">
        <v>94.0946</v>
      </c>
      <c r="H982" s="15">
        <v>45320</v>
      </c>
      <c r="I982">
        <v>71.599999999999994</v>
      </c>
      <c r="J982">
        <v>25000</v>
      </c>
      <c r="K982" s="28">
        <v>6.1</v>
      </c>
      <c r="L982">
        <v>8.3699999999999992</v>
      </c>
    </row>
    <row r="983" spans="1:12" ht="15" customHeight="1" x14ac:dyDescent="0.2">
      <c r="A983" s="28" t="s">
        <v>8</v>
      </c>
      <c r="B983" t="s">
        <v>30</v>
      </c>
      <c r="C983" s="30" t="s">
        <v>56</v>
      </c>
      <c r="D983" s="28">
        <f>YEAR(TableauFlitrage[[#This Row],[Date_d_adjudication]])</f>
        <v>2021</v>
      </c>
      <c r="E983" s="28">
        <f t="shared" si="16"/>
        <v>2</v>
      </c>
      <c r="F983" s="15">
        <v>44230</v>
      </c>
      <c r="G983" s="28">
        <v>94.118899999999996</v>
      </c>
      <c r="H983" s="15">
        <v>45686</v>
      </c>
      <c r="I983">
        <v>75</v>
      </c>
      <c r="J983">
        <v>20000</v>
      </c>
      <c r="K983" s="28">
        <v>6.2</v>
      </c>
      <c r="L983">
        <v>7.95</v>
      </c>
    </row>
    <row r="984" spans="1:12" ht="15" customHeight="1" x14ac:dyDescent="0.2">
      <c r="A984" s="28" t="s">
        <v>9</v>
      </c>
      <c r="B984" t="s">
        <v>30</v>
      </c>
      <c r="C984" s="30" t="s">
        <v>53</v>
      </c>
      <c r="D984" s="28">
        <f>YEAR(TableauFlitrage[[#This Row],[Date_d_adjudication]])</f>
        <v>2021</v>
      </c>
      <c r="E984" s="28">
        <f t="shared" si="16"/>
        <v>2</v>
      </c>
      <c r="F984" s="15">
        <v>44230</v>
      </c>
      <c r="G984" s="28">
        <v>91.746499999999997</v>
      </c>
      <c r="H984" s="15">
        <v>44948</v>
      </c>
      <c r="I984">
        <v>25.51</v>
      </c>
      <c r="J984">
        <v>10000</v>
      </c>
      <c r="K984" s="28">
        <v>4.5</v>
      </c>
      <c r="L984">
        <v>9.11</v>
      </c>
    </row>
    <row r="985" spans="1:12" ht="15" customHeight="1" x14ac:dyDescent="0.2">
      <c r="A985" s="28" t="s">
        <v>9</v>
      </c>
      <c r="B985" t="s">
        <v>30</v>
      </c>
      <c r="C985" s="30" t="s">
        <v>54</v>
      </c>
      <c r="D985" s="28">
        <f>YEAR(TableauFlitrage[[#This Row],[Date_d_adjudication]])</f>
        <v>2021</v>
      </c>
      <c r="E985" s="28">
        <f t="shared" si="16"/>
        <v>2</v>
      </c>
      <c r="F985" s="15">
        <v>44230</v>
      </c>
      <c r="G985" s="28">
        <v>89.687700000000007</v>
      </c>
      <c r="H985" s="15">
        <v>45313</v>
      </c>
      <c r="I985">
        <v>100</v>
      </c>
      <c r="J985">
        <v>10000</v>
      </c>
      <c r="K985" s="28">
        <v>5.5</v>
      </c>
      <c r="L985">
        <v>9.5299999999999994</v>
      </c>
    </row>
    <row r="986" spans="1:12" ht="15" customHeight="1" x14ac:dyDescent="0.2">
      <c r="A986" s="28" t="s">
        <v>9</v>
      </c>
      <c r="B986" s="2" t="s">
        <v>29</v>
      </c>
      <c r="C986" s="30">
        <v>0.5</v>
      </c>
      <c r="D986" s="28">
        <f>YEAR(TableauFlitrage[[#This Row],[Date_d_adjudication]])</f>
        <v>2021</v>
      </c>
      <c r="E986" s="28">
        <f t="shared" si="16"/>
        <v>2</v>
      </c>
      <c r="F986" s="15">
        <v>44237</v>
      </c>
      <c r="G986" s="28">
        <v>97.335642000000007</v>
      </c>
      <c r="H986" s="15">
        <v>44421</v>
      </c>
      <c r="I986">
        <v>91.071399999999997</v>
      </c>
      <c r="J986">
        <v>14000</v>
      </c>
      <c r="K986" s="28">
        <v>5.2702</v>
      </c>
    </row>
    <row r="987" spans="1:12" ht="15" customHeight="1" x14ac:dyDescent="0.2">
      <c r="A987" s="28" t="s">
        <v>8</v>
      </c>
      <c r="B987" s="2" t="s">
        <v>29</v>
      </c>
      <c r="C987" s="30">
        <v>1</v>
      </c>
      <c r="D987" s="28">
        <f>YEAR(TableauFlitrage[[#This Row],[Date_d_adjudication]])</f>
        <v>2021</v>
      </c>
      <c r="E987" s="28">
        <f t="shared" si="16"/>
        <v>2</v>
      </c>
      <c r="F987" s="15">
        <v>44237</v>
      </c>
      <c r="G987" s="28">
        <v>93.585565000000003</v>
      </c>
      <c r="H987" s="15">
        <v>44596</v>
      </c>
      <c r="I987">
        <v>7.98</v>
      </c>
      <c r="J987">
        <v>15000</v>
      </c>
      <c r="K987" s="28">
        <v>6.4683000000000002</v>
      </c>
    </row>
    <row r="988" spans="1:12" ht="15" customHeight="1" x14ac:dyDescent="0.2">
      <c r="A988" s="28" t="s">
        <v>7</v>
      </c>
      <c r="B988" s="2" t="s">
        <v>29</v>
      </c>
      <c r="C988" s="30">
        <v>1</v>
      </c>
      <c r="D988" s="28">
        <f>YEAR(TableauFlitrage[[#This Row],[Date_d_adjudication]])</f>
        <v>2021</v>
      </c>
      <c r="E988" s="28">
        <f t="shared" si="16"/>
        <v>2</v>
      </c>
      <c r="F988" s="15">
        <v>44244</v>
      </c>
      <c r="G988" s="28">
        <v>97.230856000000003</v>
      </c>
      <c r="H988" s="15">
        <v>44610</v>
      </c>
      <c r="I988">
        <v>264.57139999999998</v>
      </c>
      <c r="J988">
        <v>7000</v>
      </c>
      <c r="K988" s="28">
        <v>2.7387000000000001</v>
      </c>
    </row>
    <row r="989" spans="1:12" ht="15" customHeight="1" x14ac:dyDescent="0.2">
      <c r="A989" s="28" t="s">
        <v>7</v>
      </c>
      <c r="B989" s="2" t="s">
        <v>29</v>
      </c>
      <c r="C989" s="30">
        <v>0.5</v>
      </c>
      <c r="D989" s="28">
        <f>YEAR(TableauFlitrage[[#This Row],[Date_d_adjudication]])</f>
        <v>2021</v>
      </c>
      <c r="E989" s="28">
        <f t="shared" si="16"/>
        <v>2</v>
      </c>
      <c r="F989" s="15">
        <v>44244</v>
      </c>
      <c r="G989" s="28">
        <v>98.988889</v>
      </c>
      <c r="H989" s="15">
        <v>44428</v>
      </c>
      <c r="I989">
        <v>257.88459999999998</v>
      </c>
      <c r="J989">
        <v>13000</v>
      </c>
      <c r="K989" s="28">
        <v>2</v>
      </c>
    </row>
    <row r="990" spans="1:12" ht="15" customHeight="1" x14ac:dyDescent="0.2">
      <c r="A990" s="28" t="s">
        <v>8</v>
      </c>
      <c r="B990" s="2" t="s">
        <v>29</v>
      </c>
      <c r="C990" s="30">
        <v>0.5</v>
      </c>
      <c r="D990" s="28">
        <f>YEAR(TableauFlitrage[[#This Row],[Date_d_adjudication]])</f>
        <v>2021</v>
      </c>
      <c r="E990" s="28">
        <f t="shared" si="16"/>
        <v>2</v>
      </c>
      <c r="F990" s="15">
        <v>44244</v>
      </c>
      <c r="G990" s="28">
        <v>96.803117999999998</v>
      </c>
      <c r="H990" s="15">
        <v>44428</v>
      </c>
      <c r="I990">
        <v>74.286699999999996</v>
      </c>
      <c r="J990">
        <v>15000</v>
      </c>
      <c r="K990" s="28">
        <v>6.3235000000000001</v>
      </c>
    </row>
    <row r="991" spans="1:12" ht="15" customHeight="1" x14ac:dyDescent="0.2">
      <c r="A991" s="28" t="s">
        <v>9</v>
      </c>
      <c r="B991" s="2" t="s">
        <v>29</v>
      </c>
      <c r="C991" s="30">
        <v>0.25</v>
      </c>
      <c r="D991" s="28">
        <f>YEAR(TableauFlitrage[[#This Row],[Date_d_adjudication]])</f>
        <v>2021</v>
      </c>
      <c r="E991" s="28">
        <f t="shared" si="16"/>
        <v>2</v>
      </c>
      <c r="F991" s="15">
        <v>44244</v>
      </c>
      <c r="G991" s="28">
        <v>98.753780000000006</v>
      </c>
      <c r="H991" s="15">
        <v>44337</v>
      </c>
      <c r="I991">
        <v>61.25</v>
      </c>
      <c r="J991">
        <v>16000</v>
      </c>
      <c r="K991" s="28">
        <v>4.9301000000000004</v>
      </c>
    </row>
    <row r="992" spans="1:12" ht="15" customHeight="1" x14ac:dyDescent="0.2">
      <c r="A992" s="28" t="s">
        <v>11</v>
      </c>
      <c r="B992" s="2" t="s">
        <v>29</v>
      </c>
      <c r="C992" s="30">
        <v>0.5</v>
      </c>
      <c r="D992" s="28">
        <f>YEAR(TableauFlitrage[[#This Row],[Date_d_adjudication]])</f>
        <v>2021</v>
      </c>
      <c r="E992" s="28">
        <f t="shared" si="16"/>
        <v>2</v>
      </c>
      <c r="F992" s="15">
        <v>44244</v>
      </c>
      <c r="G992" s="28">
        <v>96.921295999999998</v>
      </c>
      <c r="H992" s="15">
        <v>44428</v>
      </c>
      <c r="I992">
        <v>157.0513</v>
      </c>
      <c r="J992">
        <v>7020</v>
      </c>
      <c r="K992" s="28">
        <v>6.0896999999999997</v>
      </c>
    </row>
    <row r="993" spans="1:12" ht="15" customHeight="1" x14ac:dyDescent="0.2">
      <c r="A993" s="28" t="s">
        <v>9</v>
      </c>
      <c r="B993" t="s">
        <v>30</v>
      </c>
      <c r="C993" s="30" t="s">
        <v>53</v>
      </c>
      <c r="D993" s="28">
        <f>YEAR(TableauFlitrage[[#This Row],[Date_d_adjudication]])</f>
        <v>1900</v>
      </c>
      <c r="E993" s="28">
        <f t="shared" si="16"/>
        <v>3</v>
      </c>
      <c r="F993" s="15">
        <f>+G993-2</f>
        <v>89.084199999999996</v>
      </c>
      <c r="G993" s="28">
        <v>91.084199999999996</v>
      </c>
      <c r="H993" s="15">
        <v>44948</v>
      </c>
      <c r="I993" t="e">
        <f>+#REF!/J993*100</f>
        <v>#REF!</v>
      </c>
      <c r="J993">
        <v>15000</v>
      </c>
      <c r="K993" s="28">
        <v>4.5</v>
      </c>
      <c r="L993">
        <v>9.5</v>
      </c>
    </row>
    <row r="994" spans="1:12" ht="15" customHeight="1" x14ac:dyDescent="0.2">
      <c r="A994" s="28" t="s">
        <v>8</v>
      </c>
      <c r="B994" s="2" t="s">
        <v>29</v>
      </c>
      <c r="C994" s="30">
        <v>1</v>
      </c>
      <c r="D994" s="28">
        <f>YEAR(TableauFlitrage[[#This Row],[Date_d_adjudication]])</f>
        <v>2021</v>
      </c>
      <c r="E994" s="28">
        <f t="shared" si="16"/>
        <v>2</v>
      </c>
      <c r="F994" s="15">
        <v>44251</v>
      </c>
      <c r="G994" s="28">
        <v>93.932193999999996</v>
      </c>
      <c r="H994" s="15">
        <v>44617</v>
      </c>
      <c r="I994">
        <v>97</v>
      </c>
      <c r="J994">
        <v>11000</v>
      </c>
      <c r="K994" s="28">
        <v>6.0011000000000001</v>
      </c>
    </row>
    <row r="995" spans="1:12" ht="15" customHeight="1" x14ac:dyDescent="0.2">
      <c r="A995" s="28" t="s">
        <v>9</v>
      </c>
      <c r="B995" s="2" t="s">
        <v>29</v>
      </c>
      <c r="C995" s="30">
        <v>0.25</v>
      </c>
      <c r="D995" s="28">
        <f>YEAR(TableauFlitrage[[#This Row],[Date_d_adjudication]])</f>
        <v>2021</v>
      </c>
      <c r="E995" s="28">
        <f t="shared" si="16"/>
        <v>2</v>
      </c>
      <c r="F995" s="15">
        <v>44251</v>
      </c>
      <c r="G995" s="28">
        <v>98.878231999999997</v>
      </c>
      <c r="H995" s="15">
        <v>44337</v>
      </c>
      <c r="I995">
        <v>135</v>
      </c>
      <c r="J995">
        <v>8000</v>
      </c>
      <c r="K995" s="28">
        <v>4.8075999999999999</v>
      </c>
    </row>
    <row r="996" spans="1:12" ht="15" customHeight="1" x14ac:dyDescent="0.2">
      <c r="A996" s="28" t="s">
        <v>9</v>
      </c>
      <c r="B996" s="2" t="s">
        <v>29</v>
      </c>
      <c r="C996" s="30">
        <v>1</v>
      </c>
      <c r="D996" s="28">
        <f>YEAR(TableauFlitrage[[#This Row],[Date_d_adjudication]])</f>
        <v>2021</v>
      </c>
      <c r="E996" s="28">
        <f t="shared" si="16"/>
        <v>2</v>
      </c>
      <c r="F996" s="15">
        <v>44251</v>
      </c>
      <c r="G996" s="28">
        <v>94.399795999999995</v>
      </c>
      <c r="H996" s="15">
        <v>44617</v>
      </c>
      <c r="I996">
        <v>41.78</v>
      </c>
      <c r="J996">
        <v>10000</v>
      </c>
      <c r="K996" s="28">
        <v>5.5387000000000004</v>
      </c>
    </row>
    <row r="997" spans="1:12" ht="15" customHeight="1" x14ac:dyDescent="0.2">
      <c r="A997" s="28" t="s">
        <v>11</v>
      </c>
      <c r="B997" s="2" t="s">
        <v>29</v>
      </c>
      <c r="C997" s="30">
        <v>0.5</v>
      </c>
      <c r="D997" s="28">
        <f>YEAR(TableauFlitrage[[#This Row],[Date_d_adjudication]])</f>
        <v>2021</v>
      </c>
      <c r="E997" s="28">
        <f t="shared" si="16"/>
        <v>2</v>
      </c>
      <c r="F997" s="15">
        <v>44251</v>
      </c>
      <c r="G997" s="28">
        <v>96.756304</v>
      </c>
      <c r="H997" s="15">
        <v>44435</v>
      </c>
      <c r="I997">
        <v>92.433700000000002</v>
      </c>
      <c r="J997">
        <v>16111</v>
      </c>
      <c r="K997" s="28">
        <v>6.4161000000000001</v>
      </c>
    </row>
    <row r="998" spans="1:12" ht="15" customHeight="1" x14ac:dyDescent="0.2">
      <c r="A998" s="28" t="s">
        <v>7</v>
      </c>
      <c r="B998" t="s">
        <v>30</v>
      </c>
      <c r="C998" s="30" t="s">
        <v>55</v>
      </c>
      <c r="D998" s="28">
        <f>YEAR(TableauFlitrage[[#This Row],[Date_d_adjudication]])</f>
        <v>1900</v>
      </c>
      <c r="E998" s="28">
        <f t="shared" si="16"/>
        <v>4</v>
      </c>
      <c r="F998" s="15">
        <f>+G998-2</f>
        <v>96.762900000000002</v>
      </c>
      <c r="G998" s="28">
        <v>98.762900000000002</v>
      </c>
      <c r="H998" s="15">
        <v>46079</v>
      </c>
      <c r="I998" t="e">
        <f>+#REF!/J998*100</f>
        <v>#REF!</v>
      </c>
      <c r="J998">
        <v>50000</v>
      </c>
      <c r="K998" s="28">
        <v>5.5</v>
      </c>
      <c r="L998">
        <v>5.79</v>
      </c>
    </row>
    <row r="999" spans="1:12" ht="15" customHeight="1" x14ac:dyDescent="0.2">
      <c r="A999" s="28" t="s">
        <v>9</v>
      </c>
      <c r="B999" t="s">
        <v>30</v>
      </c>
      <c r="C999" s="30" t="s">
        <v>55</v>
      </c>
      <c r="D999" s="28">
        <f>YEAR(TableauFlitrage[[#This Row],[Date_d_adjudication]])</f>
        <v>1900</v>
      </c>
      <c r="E999" s="28">
        <f t="shared" si="16"/>
        <v>3</v>
      </c>
      <c r="F999" s="15">
        <f>+G999-2</f>
        <v>88.426400000000001</v>
      </c>
      <c r="G999" s="28">
        <v>90.426400000000001</v>
      </c>
      <c r="H999" s="15">
        <v>45988</v>
      </c>
      <c r="I999" t="e">
        <f>+#REF!/J999*100</f>
        <v>#REF!</v>
      </c>
      <c r="J999">
        <v>10000</v>
      </c>
      <c r="K999" s="28">
        <v>6.5</v>
      </c>
      <c r="L999">
        <v>8.92</v>
      </c>
    </row>
    <row r="1000" spans="1:12" ht="15" customHeight="1" x14ac:dyDescent="0.2">
      <c r="A1000" s="28" t="s">
        <v>9</v>
      </c>
      <c r="B1000" t="s">
        <v>30</v>
      </c>
      <c r="C1000" s="30" t="s">
        <v>54</v>
      </c>
      <c r="D1000" s="28">
        <f>YEAR(TableauFlitrage[[#This Row],[Date_d_adjudication]])</f>
        <v>1900</v>
      </c>
      <c r="E1000" s="28">
        <f t="shared" si="16"/>
        <v>3</v>
      </c>
      <c r="F1000" s="15">
        <f>+G1000-2</f>
        <v>87.775700000000001</v>
      </c>
      <c r="G1000" s="28">
        <v>89.775700000000001</v>
      </c>
      <c r="H1000" s="15">
        <v>45313</v>
      </c>
      <c r="I1000" t="e">
        <f>+#REF!/J1000*100</f>
        <v>#REF!</v>
      </c>
      <c r="J1000">
        <v>15000</v>
      </c>
      <c r="K1000" s="28">
        <v>5.5</v>
      </c>
      <c r="L1000">
        <v>9.5</v>
      </c>
    </row>
    <row r="1001" spans="1:12" ht="15" customHeight="1" x14ac:dyDescent="0.2">
      <c r="A1001" s="28" t="s">
        <v>8</v>
      </c>
      <c r="B1001" t="s">
        <v>30</v>
      </c>
      <c r="C1001" s="30" t="s">
        <v>53</v>
      </c>
      <c r="D1001" s="28">
        <f>YEAR(TableauFlitrage[[#This Row],[Date_d_adjudication]])</f>
        <v>1900</v>
      </c>
      <c r="E1001" s="28">
        <f t="shared" si="16"/>
        <v>3</v>
      </c>
      <c r="F1001" s="15">
        <f>+G1001-2</f>
        <v>90.190899999999999</v>
      </c>
      <c r="G1001" s="28">
        <v>92.190899999999999</v>
      </c>
      <c r="H1001" s="15">
        <v>44941</v>
      </c>
      <c r="I1001" t="e">
        <f>+#REF!/J1001*100</f>
        <v>#REF!</v>
      </c>
      <c r="J1001">
        <v>10000</v>
      </c>
      <c r="K1001" s="28">
        <v>5.75</v>
      </c>
      <c r="L1001">
        <v>10.16</v>
      </c>
    </row>
    <row r="1002" spans="1:12" ht="15" customHeight="1" x14ac:dyDescent="0.2">
      <c r="A1002" s="28" t="s">
        <v>7</v>
      </c>
      <c r="B1002" s="2" t="s">
        <v>29</v>
      </c>
      <c r="C1002" s="30">
        <v>0.5</v>
      </c>
      <c r="D1002" s="28">
        <f>YEAR(TableauFlitrage[[#This Row],[Date_d_adjudication]])</f>
        <v>2021</v>
      </c>
      <c r="E1002" s="28">
        <f t="shared" si="16"/>
        <v>3</v>
      </c>
      <c r="F1002" s="15">
        <v>44258</v>
      </c>
      <c r="G1002" s="28">
        <v>98.968035</v>
      </c>
      <c r="H1002" s="15">
        <v>44442</v>
      </c>
      <c r="I1002">
        <v>195.125</v>
      </c>
      <c r="J1002">
        <v>20000</v>
      </c>
      <c r="K1002" s="28">
        <v>2.0625</v>
      </c>
    </row>
    <row r="1003" spans="1:12" ht="15" customHeight="1" x14ac:dyDescent="0.2">
      <c r="A1003" s="28" t="s">
        <v>8</v>
      </c>
      <c r="B1003" s="2" t="s">
        <v>29</v>
      </c>
      <c r="C1003" s="30">
        <v>0.25</v>
      </c>
      <c r="D1003" s="28">
        <f>YEAR(TableauFlitrage[[#This Row],[Date_d_adjudication]])</f>
        <v>2021</v>
      </c>
      <c r="E1003" s="28">
        <f t="shared" si="16"/>
        <v>3</v>
      </c>
      <c r="F1003" s="15">
        <v>44258</v>
      </c>
      <c r="G1003" s="28">
        <v>98.512534000000002</v>
      </c>
      <c r="H1003" s="15">
        <v>44351</v>
      </c>
      <c r="I1003">
        <v>96.666700000000006</v>
      </c>
      <c r="J1003">
        <v>6000</v>
      </c>
      <c r="K1003" s="28">
        <v>5.9733000000000001</v>
      </c>
    </row>
    <row r="1004" spans="1:12" ht="15" customHeight="1" x14ac:dyDescent="0.2">
      <c r="A1004" s="28" t="s">
        <v>9</v>
      </c>
      <c r="B1004" s="2" t="s">
        <v>29</v>
      </c>
      <c r="C1004" s="30">
        <v>0.5</v>
      </c>
      <c r="D1004" s="28">
        <f>YEAR(TableauFlitrage[[#This Row],[Date_d_adjudication]])</f>
        <v>2021</v>
      </c>
      <c r="E1004" s="28">
        <f t="shared" si="16"/>
        <v>3</v>
      </c>
      <c r="F1004" s="15">
        <v>44258</v>
      </c>
      <c r="G1004" s="28">
        <v>97.292484000000002</v>
      </c>
      <c r="H1004" s="15">
        <v>44442</v>
      </c>
      <c r="I1004">
        <v>85.290999999999997</v>
      </c>
      <c r="J1004">
        <v>12000</v>
      </c>
      <c r="K1004" s="28">
        <v>5.5045999999999999</v>
      </c>
    </row>
    <row r="1005" spans="1:12" ht="15" customHeight="1" x14ac:dyDescent="0.2">
      <c r="A1005" s="28" t="s">
        <v>11</v>
      </c>
      <c r="B1005" s="2" t="s">
        <v>29</v>
      </c>
      <c r="C1005" s="30">
        <v>0.5</v>
      </c>
      <c r="D1005" s="28">
        <f>YEAR(TableauFlitrage[[#This Row],[Date_d_adjudication]])</f>
        <v>2021</v>
      </c>
      <c r="E1005" s="28">
        <f t="shared" si="16"/>
        <v>3</v>
      </c>
      <c r="F1005" s="15">
        <v>44258</v>
      </c>
      <c r="G1005" s="28">
        <v>96.710104000000001</v>
      </c>
      <c r="H1005" s="15">
        <v>44442</v>
      </c>
      <c r="I1005">
        <v>97.456100000000006</v>
      </c>
      <c r="J1005">
        <v>13090</v>
      </c>
      <c r="K1005" s="28">
        <v>6.7289000000000003</v>
      </c>
    </row>
    <row r="1006" spans="1:12" ht="15" customHeight="1" x14ac:dyDescent="0.2">
      <c r="A1006" s="28" t="s">
        <v>8</v>
      </c>
      <c r="B1006" t="s">
        <v>30</v>
      </c>
      <c r="C1006" s="30" t="s">
        <v>54</v>
      </c>
      <c r="D1006" s="28">
        <f>YEAR(TableauFlitrage[[#This Row],[Date_d_adjudication]])</f>
        <v>2021</v>
      </c>
      <c r="E1006" s="28">
        <f t="shared" si="16"/>
        <v>3</v>
      </c>
      <c r="F1006" s="15">
        <v>44258</v>
      </c>
      <c r="G1006" s="28">
        <v>90.033299999999997</v>
      </c>
      <c r="H1006" s="15">
        <v>45356</v>
      </c>
      <c r="I1006">
        <v>20</v>
      </c>
      <c r="J1006">
        <v>15000</v>
      </c>
      <c r="K1006" s="28">
        <v>6</v>
      </c>
      <c r="L1006">
        <v>9.92</v>
      </c>
    </row>
    <row r="1007" spans="1:12" ht="15" customHeight="1" x14ac:dyDescent="0.2">
      <c r="A1007" s="28" t="s">
        <v>19</v>
      </c>
      <c r="B1007" s="2" t="s">
        <v>29</v>
      </c>
      <c r="C1007" s="30">
        <v>0.5</v>
      </c>
      <c r="D1007" s="28">
        <f>YEAR(TableauFlitrage[[#This Row],[Date_d_adjudication]])</f>
        <v>2021</v>
      </c>
      <c r="E1007" s="28">
        <f t="shared" si="16"/>
        <v>3</v>
      </c>
      <c r="F1007" s="15">
        <v>44265</v>
      </c>
      <c r="G1007" s="28">
        <v>97.253913999999995</v>
      </c>
      <c r="H1007" s="15">
        <v>44449</v>
      </c>
      <c r="I1007">
        <v>100</v>
      </c>
      <c r="J1007">
        <v>5500</v>
      </c>
      <c r="K1007" s="28">
        <v>5.5852000000000004</v>
      </c>
    </row>
    <row r="1008" spans="1:12" ht="15" customHeight="1" x14ac:dyDescent="0.2">
      <c r="A1008" s="28" t="s">
        <v>8</v>
      </c>
      <c r="B1008" s="2" t="s">
        <v>29</v>
      </c>
      <c r="C1008" s="30">
        <v>0.5</v>
      </c>
      <c r="D1008" s="28">
        <f>YEAR(TableauFlitrage[[#This Row],[Date_d_adjudication]])</f>
        <v>2021</v>
      </c>
      <c r="E1008" s="28">
        <f t="shared" si="16"/>
        <v>3</v>
      </c>
      <c r="F1008" s="15">
        <v>44265</v>
      </c>
      <c r="G1008" s="28">
        <v>96.619096999999996</v>
      </c>
      <c r="H1008" s="15">
        <v>44449</v>
      </c>
      <c r="I1008">
        <v>53.333300000000001</v>
      </c>
      <c r="J1008">
        <v>15000</v>
      </c>
      <c r="K1008" s="28">
        <v>6.9215</v>
      </c>
    </row>
    <row r="1009" spans="1:12" ht="15" customHeight="1" x14ac:dyDescent="0.2">
      <c r="A1009" s="28" t="s">
        <v>9</v>
      </c>
      <c r="B1009" s="2" t="s">
        <v>29</v>
      </c>
      <c r="C1009" s="30">
        <v>0.5</v>
      </c>
      <c r="D1009" s="28">
        <f>YEAR(TableauFlitrage[[#This Row],[Date_d_adjudication]])</f>
        <v>2021</v>
      </c>
      <c r="E1009" s="28">
        <f t="shared" si="16"/>
        <v>3</v>
      </c>
      <c r="F1009" s="15">
        <v>44265</v>
      </c>
      <c r="G1009" s="28">
        <v>97.282639000000003</v>
      </c>
      <c r="H1009" s="15">
        <v>44449</v>
      </c>
      <c r="I1009">
        <v>100.71429999999999</v>
      </c>
      <c r="J1009">
        <v>14000</v>
      </c>
      <c r="K1009" s="28">
        <v>5.5251000000000001</v>
      </c>
    </row>
    <row r="1010" spans="1:12" ht="15" customHeight="1" x14ac:dyDescent="0.2">
      <c r="A1010" s="28" t="s">
        <v>10</v>
      </c>
      <c r="B1010" s="2" t="s">
        <v>29</v>
      </c>
      <c r="C1010" s="30">
        <v>1</v>
      </c>
      <c r="D1010" s="28">
        <f>YEAR(TableauFlitrage[[#This Row],[Date_d_adjudication]])</f>
        <v>2021</v>
      </c>
      <c r="E1010" s="28">
        <f t="shared" si="16"/>
        <v>3</v>
      </c>
      <c r="F1010" s="15">
        <v>44265</v>
      </c>
      <c r="G1010" s="28">
        <v>91.735279000000006</v>
      </c>
      <c r="H1010" s="15">
        <v>44631</v>
      </c>
      <c r="I1010">
        <v>115.5933</v>
      </c>
      <c r="J1010">
        <v>15000</v>
      </c>
      <c r="K1010" s="28">
        <v>8.9102999999999994</v>
      </c>
    </row>
    <row r="1011" spans="1:12" ht="15" customHeight="1" x14ac:dyDescent="0.2">
      <c r="A1011" s="28" t="s">
        <v>11</v>
      </c>
      <c r="B1011" s="2" t="s">
        <v>29</v>
      </c>
      <c r="C1011" s="30">
        <v>0.25</v>
      </c>
      <c r="D1011" s="28">
        <f>YEAR(TableauFlitrage[[#This Row],[Date_d_adjudication]])</f>
        <v>2021</v>
      </c>
      <c r="E1011" s="28">
        <f t="shared" si="16"/>
        <v>3</v>
      </c>
      <c r="F1011" s="15">
        <v>44265</v>
      </c>
      <c r="G1011" s="28">
        <v>98.483333000000002</v>
      </c>
      <c r="H1011" s="15">
        <v>44358</v>
      </c>
      <c r="I1011">
        <v>50</v>
      </c>
      <c r="J1011">
        <v>5000</v>
      </c>
      <c r="K1011" s="28">
        <v>6.0923999999999996</v>
      </c>
    </row>
    <row r="1012" spans="1:12" ht="15" customHeight="1" x14ac:dyDescent="0.2">
      <c r="A1012" s="28" t="s">
        <v>11</v>
      </c>
      <c r="B1012" s="2" t="s">
        <v>29</v>
      </c>
      <c r="C1012" s="30">
        <v>0.5</v>
      </c>
      <c r="D1012" s="28">
        <f>YEAR(TableauFlitrage[[#This Row],[Date_d_adjudication]])</f>
        <v>2021</v>
      </c>
      <c r="E1012" s="28">
        <f t="shared" ref="E1012:E1070" si="17">MONTH(F1012)</f>
        <v>3</v>
      </c>
      <c r="F1012" s="15">
        <v>44265</v>
      </c>
      <c r="G1012" s="28">
        <v>96.706266999999997</v>
      </c>
      <c r="H1012" s="15">
        <v>44449</v>
      </c>
      <c r="I1012">
        <v>19.670200000000001</v>
      </c>
      <c r="J1012">
        <v>36508</v>
      </c>
      <c r="K1012" s="28">
        <v>6.7370000000000001</v>
      </c>
    </row>
    <row r="1013" spans="1:12" ht="15" customHeight="1" x14ac:dyDescent="0.2">
      <c r="A1013" s="28" t="s">
        <v>7</v>
      </c>
      <c r="B1013" t="s">
        <v>30</v>
      </c>
      <c r="C1013" s="30" t="s">
        <v>58</v>
      </c>
      <c r="D1013" s="28">
        <f>YEAR(TableauFlitrage[[#This Row],[Date_d_adjudication]])</f>
        <v>2021</v>
      </c>
      <c r="E1013" s="28">
        <f t="shared" si="17"/>
        <v>3</v>
      </c>
      <c r="F1013" s="15">
        <v>44265</v>
      </c>
      <c r="G1013" s="28">
        <v>97.786199999999994</v>
      </c>
      <c r="H1013" s="15">
        <v>46824</v>
      </c>
      <c r="I1013">
        <v>100</v>
      </c>
      <c r="J1013">
        <v>35000</v>
      </c>
      <c r="K1013" s="28">
        <v>6.5</v>
      </c>
      <c r="L1013">
        <v>6.9</v>
      </c>
    </row>
    <row r="1014" spans="1:12" ht="15" customHeight="1" x14ac:dyDescent="0.2">
      <c r="A1014" s="28" t="s">
        <v>9</v>
      </c>
      <c r="B1014" s="2" t="s">
        <v>29</v>
      </c>
      <c r="C1014" s="30">
        <v>1</v>
      </c>
      <c r="D1014" s="28">
        <f>YEAR(TableauFlitrage[[#This Row],[Date_d_adjudication]])</f>
        <v>2021</v>
      </c>
      <c r="E1014" s="28">
        <f t="shared" si="17"/>
        <v>3</v>
      </c>
      <c r="F1014" s="15">
        <v>44272</v>
      </c>
      <c r="G1014" s="28">
        <v>94.433700999999999</v>
      </c>
      <c r="H1014" s="15">
        <v>44617</v>
      </c>
      <c r="I1014">
        <v>100</v>
      </c>
      <c r="J1014">
        <v>10000</v>
      </c>
      <c r="K1014" s="28">
        <v>5.8422000000000001</v>
      </c>
    </row>
    <row r="1015" spans="1:12" ht="15" customHeight="1" x14ac:dyDescent="0.2">
      <c r="A1015" s="28" t="s">
        <v>9</v>
      </c>
      <c r="B1015" s="2" t="s">
        <v>29</v>
      </c>
      <c r="C1015" s="30">
        <v>0.5</v>
      </c>
      <c r="D1015" s="28">
        <f>YEAR(TableauFlitrage[[#This Row],[Date_d_adjudication]])</f>
        <v>2021</v>
      </c>
      <c r="E1015" s="28">
        <f t="shared" si="17"/>
        <v>3</v>
      </c>
      <c r="F1015" s="15">
        <v>44272</v>
      </c>
      <c r="G1015" s="28">
        <v>97.266542999999999</v>
      </c>
      <c r="H1015" s="15">
        <v>44456</v>
      </c>
      <c r="I1015">
        <v>36.4467</v>
      </c>
      <c r="J1015">
        <v>15000</v>
      </c>
      <c r="K1015" s="28">
        <v>5.4067999999999996</v>
      </c>
    </row>
    <row r="1016" spans="1:12" ht="15" customHeight="1" x14ac:dyDescent="0.2">
      <c r="A1016" s="28" t="s">
        <v>11</v>
      </c>
      <c r="B1016" s="2" t="s">
        <v>29</v>
      </c>
      <c r="C1016" s="30">
        <v>0.5</v>
      </c>
      <c r="D1016" s="28">
        <f>YEAR(TableauFlitrage[[#This Row],[Date_d_adjudication]])</f>
        <v>2021</v>
      </c>
      <c r="E1016" s="28">
        <f t="shared" si="17"/>
        <v>3</v>
      </c>
      <c r="F1016" s="15">
        <v>44272</v>
      </c>
      <c r="G1016" s="28">
        <v>96.745182</v>
      </c>
      <c r="H1016" s="15">
        <v>44456</v>
      </c>
      <c r="I1016">
        <v>79.452500000000001</v>
      </c>
      <c r="J1016">
        <v>30500</v>
      </c>
      <c r="K1016" s="28">
        <v>6.4381000000000004</v>
      </c>
    </row>
    <row r="1017" spans="1:12" ht="15" customHeight="1" x14ac:dyDescent="0.2">
      <c r="A1017" s="28" t="s">
        <v>9</v>
      </c>
      <c r="B1017" t="s">
        <v>30</v>
      </c>
      <c r="C1017" s="30" t="s">
        <v>56</v>
      </c>
      <c r="D1017" s="28">
        <f>YEAR(TableauFlitrage[[#This Row],[Date_d_adjudication]])</f>
        <v>2021</v>
      </c>
      <c r="E1017" s="28">
        <f t="shared" si="17"/>
        <v>3</v>
      </c>
      <c r="F1017" s="15">
        <v>44272</v>
      </c>
      <c r="G1017" s="28">
        <v>87.408600000000007</v>
      </c>
      <c r="H1017" s="15">
        <v>45371</v>
      </c>
      <c r="I1017">
        <v>109.1429</v>
      </c>
      <c r="J1017">
        <v>17500</v>
      </c>
      <c r="K1017" s="28">
        <v>6.5</v>
      </c>
      <c r="L1017">
        <v>10.43</v>
      </c>
    </row>
    <row r="1018" spans="1:12" ht="15" customHeight="1" x14ac:dyDescent="0.2">
      <c r="A1018" s="28" t="s">
        <v>8</v>
      </c>
      <c r="B1018" t="s">
        <v>30</v>
      </c>
      <c r="C1018" s="30" t="s">
        <v>54</v>
      </c>
      <c r="D1018" s="28">
        <f>YEAR(TableauFlitrage[[#This Row],[Date_d_adjudication]])</f>
        <v>2021</v>
      </c>
      <c r="E1018" s="28">
        <f t="shared" si="17"/>
        <v>3</v>
      </c>
      <c r="F1018" s="15">
        <v>44272</v>
      </c>
      <c r="G1018" s="28">
        <v>90.942499999999995</v>
      </c>
      <c r="H1018" s="15">
        <v>45370</v>
      </c>
      <c r="I1018">
        <v>35.366700000000002</v>
      </c>
      <c r="J1018">
        <v>30000</v>
      </c>
      <c r="K1018" s="28">
        <v>6</v>
      </c>
      <c r="L1018">
        <v>9.5399999999999991</v>
      </c>
    </row>
    <row r="1019" spans="1:12" ht="15" customHeight="1" x14ac:dyDescent="0.2">
      <c r="A1019" s="28" t="s">
        <v>9</v>
      </c>
      <c r="B1019" t="s">
        <v>30</v>
      </c>
      <c r="C1019" s="30" t="s">
        <v>54</v>
      </c>
      <c r="D1019" s="28">
        <f>YEAR(TableauFlitrage[[#This Row],[Date_d_adjudication]])</f>
        <v>2021</v>
      </c>
      <c r="E1019" s="28">
        <f t="shared" si="17"/>
        <v>3</v>
      </c>
      <c r="F1019" s="15">
        <v>44272</v>
      </c>
      <c r="G1019" s="28">
        <v>89.118300000000005</v>
      </c>
      <c r="H1019" s="15">
        <v>45370</v>
      </c>
      <c r="I1019">
        <v>112.02079999999999</v>
      </c>
      <c r="J1019">
        <v>25000</v>
      </c>
      <c r="K1019" s="28">
        <v>5.5</v>
      </c>
      <c r="L1019">
        <v>9.77</v>
      </c>
    </row>
    <row r="1020" spans="1:12" ht="15" customHeight="1" x14ac:dyDescent="0.2">
      <c r="A1020" s="28" t="s">
        <v>8</v>
      </c>
      <c r="B1020" s="2" t="s">
        <v>29</v>
      </c>
      <c r="C1020" s="30">
        <v>0.5</v>
      </c>
      <c r="D1020" s="28">
        <f>YEAR(TableauFlitrage[[#This Row],[Date_d_adjudication]])</f>
        <v>2021</v>
      </c>
      <c r="E1020" s="28">
        <f t="shared" si="17"/>
        <v>3</v>
      </c>
      <c r="F1020" s="15">
        <v>44279</v>
      </c>
      <c r="G1020" s="28">
        <v>96.903471999999994</v>
      </c>
      <c r="H1020" s="15">
        <v>44463</v>
      </c>
      <c r="I1020">
        <v>66.666700000000006</v>
      </c>
      <c r="J1020">
        <v>12000</v>
      </c>
      <c r="K1020" s="28">
        <v>6.125</v>
      </c>
    </row>
    <row r="1021" spans="1:12" ht="15" customHeight="1" x14ac:dyDescent="0.2">
      <c r="A1021" s="28" t="s">
        <v>9</v>
      </c>
      <c r="B1021" s="2" t="s">
        <v>29</v>
      </c>
      <c r="C1021" s="30">
        <v>1</v>
      </c>
      <c r="D1021" s="28">
        <f>YEAR(TableauFlitrage[[#This Row],[Date_d_adjudication]])</f>
        <v>2021</v>
      </c>
      <c r="E1021" s="28">
        <f t="shared" si="17"/>
        <v>3</v>
      </c>
      <c r="F1021" s="15">
        <v>44279</v>
      </c>
      <c r="G1021" s="28">
        <v>94.033433000000002</v>
      </c>
      <c r="H1021" s="15">
        <v>44645</v>
      </c>
      <c r="I1021">
        <v>100</v>
      </c>
      <c r="J1021">
        <v>10000</v>
      </c>
      <c r="K1021" s="28">
        <v>5.9009999999999998</v>
      </c>
    </row>
    <row r="1022" spans="1:12" ht="15" customHeight="1" x14ac:dyDescent="0.2">
      <c r="A1022" s="28" t="s">
        <v>10</v>
      </c>
      <c r="B1022" s="2" t="s">
        <v>29</v>
      </c>
      <c r="C1022" s="30">
        <v>1</v>
      </c>
      <c r="D1022" s="28">
        <f>YEAR(TableauFlitrage[[#This Row],[Date_d_adjudication]])</f>
        <v>2021</v>
      </c>
      <c r="E1022" s="28">
        <f t="shared" si="17"/>
        <v>3</v>
      </c>
      <c r="F1022" s="15">
        <v>44279</v>
      </c>
      <c r="G1022" s="28">
        <v>91.446299999999994</v>
      </c>
      <c r="H1022" s="15">
        <v>44645</v>
      </c>
      <c r="I1022">
        <v>98</v>
      </c>
      <c r="J1022">
        <v>10000</v>
      </c>
      <c r="K1022" s="28">
        <v>8.4596999999999998</v>
      </c>
    </row>
    <row r="1023" spans="1:12" ht="15" customHeight="1" x14ac:dyDescent="0.2">
      <c r="A1023" s="28" t="s">
        <v>11</v>
      </c>
      <c r="B1023" s="2" t="s">
        <v>29</v>
      </c>
      <c r="C1023" s="30">
        <v>1</v>
      </c>
      <c r="D1023" s="28">
        <f>YEAR(TableauFlitrage[[#This Row],[Date_d_adjudication]])</f>
        <v>2021</v>
      </c>
      <c r="E1023" s="28">
        <f t="shared" si="17"/>
        <v>3</v>
      </c>
      <c r="F1023" s="15">
        <v>44279</v>
      </c>
      <c r="G1023" s="28">
        <v>93.483389000000003</v>
      </c>
      <c r="H1023" s="15">
        <v>44645</v>
      </c>
      <c r="I1023">
        <v>85</v>
      </c>
      <c r="J1023">
        <v>25000</v>
      </c>
      <c r="K1023" s="28">
        <v>6.4450000000000003</v>
      </c>
    </row>
    <row r="1024" spans="1:12" ht="15" customHeight="1" x14ac:dyDescent="0.2">
      <c r="A1024" s="28" t="s">
        <v>7</v>
      </c>
      <c r="B1024" t="s">
        <v>30</v>
      </c>
      <c r="C1024" s="30" t="s">
        <v>55</v>
      </c>
      <c r="D1024" s="28">
        <f>YEAR(TableauFlitrage[[#This Row],[Date_d_adjudication]])</f>
        <v>2021</v>
      </c>
      <c r="E1024" s="28">
        <f t="shared" si="17"/>
        <v>3</v>
      </c>
      <c r="F1024" s="15">
        <v>44279</v>
      </c>
      <c r="G1024" s="28">
        <v>98.638099999999994</v>
      </c>
      <c r="H1024" s="15">
        <v>46107</v>
      </c>
      <c r="I1024">
        <v>88.143600000000006</v>
      </c>
      <c r="J1024">
        <v>50000</v>
      </c>
      <c r="K1024" s="28">
        <v>5.5</v>
      </c>
      <c r="L1024">
        <v>5.82</v>
      </c>
    </row>
    <row r="1025" spans="1:12" ht="15" customHeight="1" x14ac:dyDescent="0.2">
      <c r="A1025" s="28" t="s">
        <v>9</v>
      </c>
      <c r="B1025" t="s">
        <v>30</v>
      </c>
      <c r="C1025" s="30" t="s">
        <v>55</v>
      </c>
      <c r="D1025" s="28">
        <f>YEAR(TableauFlitrage[[#This Row],[Date_d_adjudication]])</f>
        <v>2021</v>
      </c>
      <c r="E1025" s="28">
        <f t="shared" si="17"/>
        <v>3</v>
      </c>
      <c r="F1025" s="15">
        <v>44279</v>
      </c>
      <c r="G1025" s="28">
        <v>91.556899999999999</v>
      </c>
      <c r="H1025" s="15">
        <v>46016</v>
      </c>
      <c r="I1025">
        <v>100</v>
      </c>
      <c r="J1025">
        <v>15000</v>
      </c>
      <c r="K1025" s="28">
        <v>6.5</v>
      </c>
      <c r="L1025">
        <v>8.61</v>
      </c>
    </row>
    <row r="1026" spans="1:12" ht="15" customHeight="1" x14ac:dyDescent="0.2">
      <c r="A1026" s="28" t="s">
        <v>7</v>
      </c>
      <c r="B1026" s="2" t="s">
        <v>29</v>
      </c>
      <c r="C1026" s="30">
        <v>0.5</v>
      </c>
      <c r="D1026" s="28">
        <f>YEAR(TableauFlitrage[[#This Row],[Date_d_adjudication]])</f>
        <v>2021</v>
      </c>
      <c r="E1026" s="28">
        <f t="shared" si="17"/>
        <v>3</v>
      </c>
      <c r="F1026" s="15">
        <v>44286</v>
      </c>
      <c r="G1026" s="28">
        <v>98.963611</v>
      </c>
      <c r="H1026" s="15">
        <v>44470</v>
      </c>
      <c r="I1026">
        <v>197.5</v>
      </c>
      <c r="J1026">
        <v>20000</v>
      </c>
      <c r="K1026" s="28">
        <v>2.0499999999999998</v>
      </c>
    </row>
    <row r="1027" spans="1:12" ht="15" customHeight="1" x14ac:dyDescent="0.2">
      <c r="A1027" s="28" t="s">
        <v>8</v>
      </c>
      <c r="B1027" s="2" t="s">
        <v>29</v>
      </c>
      <c r="C1027" s="30">
        <v>0.25</v>
      </c>
      <c r="D1027" s="28">
        <f>YEAR(TableauFlitrage[[#This Row],[Date_d_adjudication]])</f>
        <v>2021</v>
      </c>
      <c r="E1027" s="28">
        <f t="shared" si="17"/>
        <v>3</v>
      </c>
      <c r="F1027" s="15">
        <v>44286</v>
      </c>
      <c r="G1027" s="28">
        <v>98.521249999999995</v>
      </c>
      <c r="H1027" s="15">
        <v>44379</v>
      </c>
      <c r="I1027">
        <v>133.49</v>
      </c>
      <c r="J1027">
        <v>10000</v>
      </c>
      <c r="K1027" s="28">
        <v>5.85</v>
      </c>
    </row>
    <row r="1028" spans="1:12" ht="15" customHeight="1" x14ac:dyDescent="0.2">
      <c r="A1028" s="28" t="s">
        <v>8</v>
      </c>
      <c r="B1028" s="2" t="s">
        <v>29</v>
      </c>
      <c r="C1028" s="30">
        <v>1</v>
      </c>
      <c r="D1028" s="28">
        <f>YEAR(TableauFlitrage[[#This Row],[Date_d_adjudication]])</f>
        <v>2021</v>
      </c>
      <c r="E1028" s="28">
        <f t="shared" si="17"/>
        <v>3</v>
      </c>
      <c r="F1028" s="15">
        <v>44286</v>
      </c>
      <c r="G1028" s="28">
        <v>93.593035999999998</v>
      </c>
      <c r="H1028" s="15">
        <v>44652</v>
      </c>
      <c r="I1028">
        <v>98.2</v>
      </c>
      <c r="J1028">
        <v>20000</v>
      </c>
      <c r="K1028" s="28">
        <v>6.3365999999999998</v>
      </c>
    </row>
    <row r="1029" spans="1:12" ht="15" customHeight="1" x14ac:dyDescent="0.2">
      <c r="A1029" s="28" t="s">
        <v>9</v>
      </c>
      <c r="B1029" s="2" t="s">
        <v>29</v>
      </c>
      <c r="C1029" s="30">
        <v>0.5</v>
      </c>
      <c r="D1029" s="28">
        <f>YEAR(TableauFlitrage[[#This Row],[Date_d_adjudication]])</f>
        <v>2021</v>
      </c>
      <c r="E1029" s="28">
        <f t="shared" si="17"/>
        <v>3</v>
      </c>
      <c r="F1029" s="15">
        <v>44286</v>
      </c>
      <c r="G1029" s="28">
        <v>97.511111</v>
      </c>
      <c r="H1029" s="15">
        <v>44456</v>
      </c>
      <c r="I1029">
        <v>60</v>
      </c>
      <c r="J1029">
        <v>10000</v>
      </c>
      <c r="K1029" s="28">
        <v>5.3333000000000004</v>
      </c>
    </row>
    <row r="1030" spans="1:12" ht="15" customHeight="1" x14ac:dyDescent="0.2">
      <c r="A1030" s="28" t="s">
        <v>9</v>
      </c>
      <c r="B1030" s="2" t="s">
        <v>29</v>
      </c>
      <c r="C1030" s="30">
        <v>1</v>
      </c>
      <c r="D1030" s="28">
        <f>YEAR(TableauFlitrage[[#This Row],[Date_d_adjudication]])</f>
        <v>2021</v>
      </c>
      <c r="E1030" s="28">
        <f t="shared" si="17"/>
        <v>3</v>
      </c>
      <c r="F1030" s="15">
        <v>44286</v>
      </c>
      <c r="G1030" s="28">
        <v>93.978995999999995</v>
      </c>
      <c r="H1030" s="15">
        <v>44652</v>
      </c>
      <c r="I1030">
        <v>82.666700000000006</v>
      </c>
      <c r="J1030">
        <v>15000</v>
      </c>
      <c r="K1030" s="28">
        <v>5.9547999999999996</v>
      </c>
    </row>
    <row r="1031" spans="1:12" ht="15" customHeight="1" x14ac:dyDescent="0.2">
      <c r="A1031" s="28" t="s">
        <v>10</v>
      </c>
      <c r="B1031" s="2" t="s">
        <v>29</v>
      </c>
      <c r="C1031" s="30">
        <v>1</v>
      </c>
      <c r="D1031" s="28">
        <f>YEAR(TableauFlitrage[[#This Row],[Date_d_adjudication]])</f>
        <v>2021</v>
      </c>
      <c r="E1031" s="28">
        <f t="shared" si="17"/>
        <v>3</v>
      </c>
      <c r="F1031" s="15">
        <v>44286</v>
      </c>
      <c r="G1031" s="28">
        <v>91.467832999999999</v>
      </c>
      <c r="H1031" s="15">
        <v>44652</v>
      </c>
      <c r="I1031">
        <v>67.174999999999997</v>
      </c>
      <c r="J1031">
        <v>20000</v>
      </c>
      <c r="K1031" s="28">
        <v>8.4383999999999997</v>
      </c>
    </row>
    <row r="1032" spans="1:12" ht="15" customHeight="1" x14ac:dyDescent="0.2">
      <c r="A1032" s="28" t="s">
        <v>11</v>
      </c>
      <c r="B1032" s="2" t="s">
        <v>29</v>
      </c>
      <c r="C1032" s="30">
        <v>0.5</v>
      </c>
      <c r="D1032" s="28">
        <f>YEAR(TableauFlitrage[[#This Row],[Date_d_adjudication]])</f>
        <v>2021</v>
      </c>
      <c r="E1032" s="28">
        <f t="shared" si="17"/>
        <v>3</v>
      </c>
      <c r="F1032" s="15">
        <v>44286</v>
      </c>
      <c r="G1032" s="28">
        <v>96.713888999999995</v>
      </c>
      <c r="H1032" s="15">
        <v>44470</v>
      </c>
      <c r="I1032">
        <v>15</v>
      </c>
      <c r="J1032">
        <v>10000</v>
      </c>
      <c r="K1032" s="28">
        <v>6.5</v>
      </c>
    </row>
    <row r="1033" spans="1:12" ht="15" customHeight="1" x14ac:dyDescent="0.2">
      <c r="A1033" s="28" t="s">
        <v>9</v>
      </c>
      <c r="B1033" t="s">
        <v>30</v>
      </c>
      <c r="C1033" s="30" t="s">
        <v>53</v>
      </c>
      <c r="D1033" s="28">
        <f>YEAR(TableauFlitrage[[#This Row],[Date_d_adjudication]])</f>
        <v>2021</v>
      </c>
      <c r="E1033" s="28">
        <f t="shared" si="17"/>
        <v>3</v>
      </c>
      <c r="F1033" s="15">
        <v>44286</v>
      </c>
      <c r="G1033" s="28">
        <v>93.734899999999996</v>
      </c>
      <c r="H1033" s="15">
        <v>44731</v>
      </c>
      <c r="I1033">
        <v>100</v>
      </c>
      <c r="J1033">
        <v>7500</v>
      </c>
      <c r="K1033" s="28">
        <v>4.75</v>
      </c>
      <c r="L1033">
        <v>11.56</v>
      </c>
    </row>
    <row r="1034" spans="1:12" ht="15" customHeight="1" x14ac:dyDescent="0.2">
      <c r="A1034" s="28" t="s">
        <v>9</v>
      </c>
      <c r="B1034" t="s">
        <v>30</v>
      </c>
      <c r="C1034" s="30" t="s">
        <v>54</v>
      </c>
      <c r="D1034" s="28">
        <f>YEAR(TableauFlitrage[[#This Row],[Date_d_adjudication]])</f>
        <v>2021</v>
      </c>
      <c r="E1034" s="28">
        <f t="shared" si="17"/>
        <v>3</v>
      </c>
      <c r="F1034" s="15">
        <v>44286</v>
      </c>
      <c r="G1034" s="28">
        <v>95.246600000000001</v>
      </c>
      <c r="H1034" s="15">
        <v>45068</v>
      </c>
      <c r="I1034">
        <v>24</v>
      </c>
      <c r="J1034">
        <v>12500</v>
      </c>
      <c r="K1034" s="28">
        <v>5.5</v>
      </c>
      <c r="L1034">
        <v>8.1199999999999992</v>
      </c>
    </row>
    <row r="1035" spans="1:12" ht="15" customHeight="1" x14ac:dyDescent="0.2">
      <c r="A1035" s="28" t="s">
        <v>11</v>
      </c>
      <c r="B1035" t="s">
        <v>30</v>
      </c>
      <c r="C1035" s="30" t="s">
        <v>55</v>
      </c>
      <c r="D1035" s="28">
        <f>YEAR(TableauFlitrage[[#This Row],[Date_d_adjudication]])</f>
        <v>2021</v>
      </c>
      <c r="E1035" s="28">
        <f t="shared" si="17"/>
        <v>3</v>
      </c>
      <c r="F1035" s="15">
        <v>44286</v>
      </c>
      <c r="G1035" s="28">
        <v>94.089799999999997</v>
      </c>
      <c r="H1035" s="15">
        <v>46114</v>
      </c>
      <c r="I1035">
        <v>100</v>
      </c>
      <c r="J1035">
        <v>50000</v>
      </c>
      <c r="K1035" s="28">
        <v>5.5</v>
      </c>
      <c r="L1035">
        <v>6.92</v>
      </c>
    </row>
    <row r="1036" spans="1:12" ht="15" customHeight="1" x14ac:dyDescent="0.2">
      <c r="A1036" s="28" t="s">
        <v>7</v>
      </c>
      <c r="B1036" s="2" t="s">
        <v>29</v>
      </c>
      <c r="C1036" s="30">
        <v>1</v>
      </c>
      <c r="D1036" s="28">
        <f>YEAR(TableauFlitrage[[#This Row],[Date_d_adjudication]])</f>
        <v>2021</v>
      </c>
      <c r="E1036" s="28">
        <f t="shared" si="17"/>
        <v>4</v>
      </c>
      <c r="F1036" s="15">
        <v>44293</v>
      </c>
      <c r="G1036" s="28">
        <v>96.993258999999995</v>
      </c>
      <c r="H1036" s="15">
        <v>44659</v>
      </c>
      <c r="I1036">
        <v>129</v>
      </c>
      <c r="J1036">
        <v>10000</v>
      </c>
      <c r="K1036" s="28">
        <v>2.9737</v>
      </c>
    </row>
    <row r="1037" spans="1:12" ht="15" customHeight="1" x14ac:dyDescent="0.2">
      <c r="A1037" s="28" t="s">
        <v>8</v>
      </c>
      <c r="B1037" s="2" t="s">
        <v>29</v>
      </c>
      <c r="C1037" s="30">
        <v>0.5</v>
      </c>
      <c r="D1037" s="28">
        <f>YEAR(TableauFlitrage[[#This Row],[Date_d_adjudication]])</f>
        <v>2021</v>
      </c>
      <c r="E1037" s="28">
        <f t="shared" si="17"/>
        <v>4</v>
      </c>
      <c r="F1037" s="15">
        <v>44293</v>
      </c>
      <c r="G1037" s="28">
        <v>96.928886000000006</v>
      </c>
      <c r="H1037" s="15">
        <v>44477</v>
      </c>
      <c r="I1037">
        <v>133.4385</v>
      </c>
      <c r="J1037">
        <v>13000</v>
      </c>
      <c r="K1037" s="28">
        <v>6.0747</v>
      </c>
    </row>
    <row r="1038" spans="1:12" ht="15" customHeight="1" x14ac:dyDescent="0.2">
      <c r="A1038" s="28" t="s">
        <v>9</v>
      </c>
      <c r="B1038" s="2" t="s">
        <v>29</v>
      </c>
      <c r="C1038" s="30">
        <v>0.25</v>
      </c>
      <c r="D1038" s="28">
        <f>YEAR(TableauFlitrage[[#This Row],[Date_d_adjudication]])</f>
        <v>2021</v>
      </c>
      <c r="E1038" s="28">
        <f t="shared" si="17"/>
        <v>4</v>
      </c>
      <c r="F1038" s="15">
        <v>44293</v>
      </c>
      <c r="G1038" s="28">
        <v>98.733633999999995</v>
      </c>
      <c r="H1038" s="15">
        <v>44386</v>
      </c>
      <c r="I1038">
        <v>246.08</v>
      </c>
      <c r="J1038">
        <v>10000</v>
      </c>
      <c r="K1038" s="28">
        <v>5.0098000000000003</v>
      </c>
    </row>
    <row r="1039" spans="1:12" ht="15" customHeight="1" x14ac:dyDescent="0.2">
      <c r="A1039" s="28" t="s">
        <v>8</v>
      </c>
      <c r="B1039" s="2" t="s">
        <v>29</v>
      </c>
      <c r="C1039" s="30">
        <v>0.5</v>
      </c>
      <c r="D1039" s="28">
        <f>YEAR(TableauFlitrage[[#This Row],[Date_d_adjudication]])</f>
        <v>2021</v>
      </c>
      <c r="E1039" s="28">
        <f t="shared" si="17"/>
        <v>4</v>
      </c>
      <c r="F1039" s="15">
        <v>44300</v>
      </c>
      <c r="G1039" s="28">
        <v>96.748435000000001</v>
      </c>
      <c r="H1039" s="15">
        <v>44484</v>
      </c>
      <c r="I1039">
        <v>100.325</v>
      </c>
      <c r="J1039">
        <v>12000</v>
      </c>
      <c r="K1039" s="28">
        <v>6.4317000000000002</v>
      </c>
    </row>
    <row r="1040" spans="1:12" ht="15" customHeight="1" x14ac:dyDescent="0.2">
      <c r="A1040" s="28" t="s">
        <v>9</v>
      </c>
      <c r="B1040" s="2" t="s">
        <v>29</v>
      </c>
      <c r="C1040" s="30">
        <v>1</v>
      </c>
      <c r="D1040" s="28">
        <f>YEAR(TableauFlitrage[[#This Row],[Date_d_adjudication]])</f>
        <v>2021</v>
      </c>
      <c r="E1040" s="28">
        <f t="shared" si="17"/>
        <v>4</v>
      </c>
      <c r="F1040" s="15">
        <v>44300</v>
      </c>
      <c r="G1040" s="28">
        <v>94.110277999999994</v>
      </c>
      <c r="H1040" s="15">
        <v>44666</v>
      </c>
      <c r="I1040">
        <v>208</v>
      </c>
      <c r="J1040">
        <v>10000</v>
      </c>
      <c r="K1040" s="28">
        <v>5.8250000000000002</v>
      </c>
    </row>
    <row r="1041" spans="1:12" ht="15" customHeight="1" x14ac:dyDescent="0.2">
      <c r="A1041" s="28" t="s">
        <v>10</v>
      </c>
      <c r="B1041" s="2" t="s">
        <v>29</v>
      </c>
      <c r="C1041" s="30">
        <v>1</v>
      </c>
      <c r="D1041" s="28">
        <f>YEAR(TableauFlitrage[[#This Row],[Date_d_adjudication]])</f>
        <v>2021</v>
      </c>
      <c r="E1041" s="28">
        <f t="shared" si="17"/>
        <v>4</v>
      </c>
      <c r="F1041" s="15">
        <v>44300</v>
      </c>
      <c r="G1041" s="28">
        <v>91.582499999999996</v>
      </c>
      <c r="H1041" s="15">
        <v>44666</v>
      </c>
      <c r="I1041">
        <v>155.5933</v>
      </c>
      <c r="J1041">
        <v>15000</v>
      </c>
      <c r="K1041" s="28">
        <v>8.3249999999999993</v>
      </c>
    </row>
    <row r="1042" spans="1:12" ht="15" customHeight="1" x14ac:dyDescent="0.2">
      <c r="A1042" s="28" t="s">
        <v>11</v>
      </c>
      <c r="B1042" s="2" t="s">
        <v>29</v>
      </c>
      <c r="C1042" s="30">
        <v>0.5</v>
      </c>
      <c r="D1042" s="28">
        <f>YEAR(TableauFlitrage[[#This Row],[Date_d_adjudication]])</f>
        <v>2021</v>
      </c>
      <c r="E1042" s="28">
        <f t="shared" si="17"/>
        <v>4</v>
      </c>
      <c r="F1042" s="15">
        <v>44300</v>
      </c>
      <c r="G1042" s="28">
        <v>96.774518</v>
      </c>
      <c r="H1042" s="15">
        <v>44484</v>
      </c>
      <c r="I1042">
        <v>88.210400000000007</v>
      </c>
      <c r="J1042">
        <v>11120</v>
      </c>
      <c r="K1042" s="28">
        <v>6.3800999999999997</v>
      </c>
    </row>
    <row r="1043" spans="1:12" ht="15" customHeight="1" x14ac:dyDescent="0.2">
      <c r="A1043" s="28" t="s">
        <v>8</v>
      </c>
      <c r="B1043" s="2" t="s">
        <v>29</v>
      </c>
      <c r="C1043" s="30">
        <v>1</v>
      </c>
      <c r="D1043" s="28">
        <f>YEAR(TableauFlitrage[[#This Row],[Date_d_adjudication]])</f>
        <v>2021</v>
      </c>
      <c r="E1043" s="28">
        <f t="shared" si="17"/>
        <v>4</v>
      </c>
      <c r="F1043" s="15">
        <v>44307</v>
      </c>
      <c r="G1043" s="28">
        <v>94.823735999999997</v>
      </c>
      <c r="H1043" s="15">
        <v>44596</v>
      </c>
      <c r="I1043">
        <v>100</v>
      </c>
      <c r="J1043">
        <v>10000</v>
      </c>
      <c r="K1043" s="28">
        <v>6.4928999999999997</v>
      </c>
    </row>
    <row r="1044" spans="1:12" ht="15" customHeight="1" x14ac:dyDescent="0.2">
      <c r="A1044" s="28" t="s">
        <v>9</v>
      </c>
      <c r="B1044" s="2" t="s">
        <v>29</v>
      </c>
      <c r="C1044" s="30">
        <v>0.5</v>
      </c>
      <c r="D1044" s="28">
        <f>YEAR(TableauFlitrage[[#This Row],[Date_d_adjudication]])</f>
        <v>2021</v>
      </c>
      <c r="E1044" s="28">
        <f t="shared" si="17"/>
        <v>4</v>
      </c>
      <c r="F1044" s="15">
        <v>44307</v>
      </c>
      <c r="G1044" s="28">
        <v>97.219443999999996</v>
      </c>
      <c r="H1044" s="15">
        <v>44491</v>
      </c>
      <c r="I1044">
        <v>181.66669999999999</v>
      </c>
      <c r="J1044">
        <v>12000</v>
      </c>
      <c r="K1044" s="28">
        <v>5.5</v>
      </c>
    </row>
    <row r="1045" spans="1:12" ht="15" customHeight="1" x14ac:dyDescent="0.2">
      <c r="A1045" s="28" t="s">
        <v>10</v>
      </c>
      <c r="B1045" s="2" t="s">
        <v>29</v>
      </c>
      <c r="C1045" s="30">
        <v>1</v>
      </c>
      <c r="D1045" s="28">
        <f>YEAR(TableauFlitrage[[#This Row],[Date_d_adjudication]])</f>
        <v>2021</v>
      </c>
      <c r="E1045" s="28">
        <f t="shared" si="17"/>
        <v>4</v>
      </c>
      <c r="F1045" s="15">
        <v>44307</v>
      </c>
      <c r="G1045" s="28">
        <v>91.514617000000001</v>
      </c>
      <c r="H1045" s="15">
        <v>44673</v>
      </c>
      <c r="I1045">
        <v>100.02</v>
      </c>
      <c r="J1045">
        <v>15000</v>
      </c>
      <c r="K1045" s="28">
        <v>8.3920999999999992</v>
      </c>
    </row>
    <row r="1046" spans="1:12" ht="15" customHeight="1" x14ac:dyDescent="0.2">
      <c r="A1046" s="28" t="s">
        <v>9</v>
      </c>
      <c r="B1046" s="2" t="s">
        <v>29</v>
      </c>
      <c r="C1046" s="30">
        <v>1</v>
      </c>
      <c r="D1046" s="28">
        <f>YEAR(TableauFlitrage[[#This Row],[Date_d_adjudication]])</f>
        <v>2021</v>
      </c>
      <c r="E1046" s="28">
        <f t="shared" si="17"/>
        <v>4</v>
      </c>
      <c r="F1046" s="15">
        <v>44314</v>
      </c>
      <c r="G1046" s="28">
        <v>97.512884999999997</v>
      </c>
      <c r="H1046" s="15">
        <v>44477</v>
      </c>
      <c r="I1046">
        <v>120.5</v>
      </c>
      <c r="J1046">
        <v>10000</v>
      </c>
      <c r="K1046" s="28">
        <v>5.5613000000000001</v>
      </c>
    </row>
    <row r="1047" spans="1:12" ht="15" customHeight="1" x14ac:dyDescent="0.2">
      <c r="A1047" s="28" t="s">
        <v>9</v>
      </c>
      <c r="B1047" s="2" t="s">
        <v>29</v>
      </c>
      <c r="C1047" s="30">
        <v>0.25</v>
      </c>
      <c r="D1047" s="28">
        <f>YEAR(TableauFlitrage[[#This Row],[Date_d_adjudication]])</f>
        <v>2021</v>
      </c>
      <c r="E1047" s="28">
        <f t="shared" si="17"/>
        <v>4</v>
      </c>
      <c r="F1047" s="15">
        <v>44314</v>
      </c>
      <c r="G1047" s="28">
        <v>98.710811000000007</v>
      </c>
      <c r="H1047" s="15">
        <v>44407</v>
      </c>
      <c r="I1047">
        <v>114.1071</v>
      </c>
      <c r="J1047">
        <v>14000</v>
      </c>
      <c r="K1047" s="28">
        <v>5.1001000000000003</v>
      </c>
    </row>
    <row r="1048" spans="1:12" ht="15" customHeight="1" x14ac:dyDescent="0.2">
      <c r="A1048" s="28" t="s">
        <v>11</v>
      </c>
      <c r="B1048" s="2" t="s">
        <v>29</v>
      </c>
      <c r="C1048" s="30">
        <v>0.5</v>
      </c>
      <c r="D1048" s="28">
        <f>YEAR(TableauFlitrage[[#This Row],[Date_d_adjudication]])</f>
        <v>2021</v>
      </c>
      <c r="E1048" s="28">
        <f t="shared" si="17"/>
        <v>4</v>
      </c>
      <c r="F1048" s="15">
        <v>44314</v>
      </c>
      <c r="G1048" s="28">
        <v>96.713888999999995</v>
      </c>
      <c r="H1048" s="15">
        <v>44498</v>
      </c>
      <c r="I1048">
        <v>100</v>
      </c>
      <c r="J1048">
        <v>13500</v>
      </c>
      <c r="K1048" s="28">
        <v>6.5</v>
      </c>
    </row>
    <row r="1049" spans="1:12" ht="13.5" customHeight="1" x14ac:dyDescent="0.2">
      <c r="A1049" s="28" t="s">
        <v>7</v>
      </c>
      <c r="B1049" t="s">
        <v>30</v>
      </c>
      <c r="C1049" s="30" t="s">
        <v>55</v>
      </c>
      <c r="D1049" s="28">
        <f>YEAR(TableauFlitrage[[#This Row],[Date_d_adjudication]])</f>
        <v>2021</v>
      </c>
      <c r="E1049" s="28">
        <f t="shared" si="17"/>
        <v>4</v>
      </c>
      <c r="F1049" s="15">
        <v>44314</v>
      </c>
      <c r="G1049" s="28">
        <v>99.152799999999999</v>
      </c>
      <c r="H1049" s="15">
        <v>46142</v>
      </c>
      <c r="I1049">
        <v>163.54</v>
      </c>
      <c r="J1049">
        <v>30000</v>
      </c>
      <c r="K1049" s="28">
        <v>5.5</v>
      </c>
      <c r="L1049">
        <v>5.7</v>
      </c>
    </row>
    <row r="1050" spans="1:12" ht="15" customHeight="1" x14ac:dyDescent="0.2">
      <c r="A1050" s="28" t="s">
        <v>9</v>
      </c>
      <c r="B1050" t="s">
        <v>30</v>
      </c>
      <c r="C1050" s="30" t="s">
        <v>55</v>
      </c>
      <c r="D1050" s="28">
        <f>YEAR(TableauFlitrage[[#This Row],[Date_d_adjudication]])</f>
        <v>2021</v>
      </c>
      <c r="E1050" s="28">
        <f t="shared" si="17"/>
        <v>4</v>
      </c>
      <c r="F1050" s="15">
        <v>44314</v>
      </c>
      <c r="G1050" s="28">
        <v>91.825699999999998</v>
      </c>
      <c r="H1050" s="15">
        <v>46016</v>
      </c>
      <c r="I1050">
        <v>102.91930000000001</v>
      </c>
      <c r="J1050">
        <v>15000</v>
      </c>
      <c r="K1050" s="28">
        <v>6.5</v>
      </c>
      <c r="L1050">
        <v>8.5399999999999991</v>
      </c>
    </row>
    <row r="1051" spans="1:12" ht="15" customHeight="1" x14ac:dyDescent="0.2">
      <c r="A1051" s="28" t="s">
        <v>9</v>
      </c>
      <c r="B1051" t="s">
        <v>30</v>
      </c>
      <c r="C1051" s="30" t="s">
        <v>54</v>
      </c>
      <c r="D1051" s="28">
        <f>YEAR(TableauFlitrage[[#This Row],[Date_d_adjudication]])</f>
        <v>2021</v>
      </c>
      <c r="E1051" s="28">
        <f t="shared" si="17"/>
        <v>4</v>
      </c>
      <c r="F1051" s="15">
        <v>44314</v>
      </c>
      <c r="G1051" s="28">
        <v>91.988900000000001</v>
      </c>
      <c r="H1051" s="15">
        <v>45412</v>
      </c>
      <c r="I1051">
        <v>194.66669999999999</v>
      </c>
      <c r="J1051">
        <v>22500</v>
      </c>
      <c r="K1051" s="28">
        <v>5.25</v>
      </c>
      <c r="L1051">
        <v>8.32</v>
      </c>
    </row>
    <row r="1052" spans="1:12" ht="15" customHeight="1" x14ac:dyDescent="0.2">
      <c r="A1052" s="28" t="s">
        <v>9</v>
      </c>
      <c r="B1052" s="2" t="s">
        <v>29</v>
      </c>
      <c r="C1052" s="30">
        <v>0.5</v>
      </c>
      <c r="D1052" s="28">
        <f>YEAR(TableauFlitrage[[#This Row],[Date_d_adjudication]])</f>
        <v>2021</v>
      </c>
      <c r="E1052" s="28">
        <f t="shared" si="17"/>
        <v>5</v>
      </c>
      <c r="F1052" s="15">
        <v>44321</v>
      </c>
      <c r="G1052" s="28">
        <v>97.358472000000006</v>
      </c>
      <c r="H1052" s="15">
        <v>44505</v>
      </c>
      <c r="I1052">
        <v>101.25</v>
      </c>
      <c r="J1052">
        <v>8000</v>
      </c>
      <c r="K1052" s="28">
        <v>5.2249999999999996</v>
      </c>
    </row>
    <row r="1053" spans="1:12" ht="15" customHeight="1" x14ac:dyDescent="0.2">
      <c r="A1053" s="28" t="s">
        <v>14</v>
      </c>
      <c r="B1053" t="s">
        <v>30</v>
      </c>
      <c r="C1053" s="30" t="s">
        <v>54</v>
      </c>
      <c r="D1053" s="28">
        <f>YEAR(TableauFlitrage[[#This Row],[Date_d_adjudication]])</f>
        <v>2021</v>
      </c>
      <c r="E1053" s="28">
        <f t="shared" si="17"/>
        <v>5</v>
      </c>
      <c r="F1053" s="15">
        <v>44321</v>
      </c>
      <c r="G1053" s="28">
        <v>92.208299999999994</v>
      </c>
      <c r="H1053" s="15">
        <v>45419</v>
      </c>
      <c r="I1053">
        <v>100</v>
      </c>
      <c r="J1053">
        <v>12000</v>
      </c>
      <c r="K1053" s="28">
        <v>6.5</v>
      </c>
      <c r="L1053">
        <v>9.5500000000000007</v>
      </c>
    </row>
    <row r="1054" spans="1:12" ht="15" customHeight="1" x14ac:dyDescent="0.2">
      <c r="A1054" s="28" t="s">
        <v>8</v>
      </c>
      <c r="B1054" t="s">
        <v>30</v>
      </c>
      <c r="C1054" s="30" t="s">
        <v>54</v>
      </c>
      <c r="D1054" s="28">
        <f>YEAR(TableauFlitrage[[#This Row],[Date_d_adjudication]])</f>
        <v>2021</v>
      </c>
      <c r="E1054" s="28">
        <f t="shared" si="17"/>
        <v>5</v>
      </c>
      <c r="F1054" s="15">
        <v>44321</v>
      </c>
      <c r="G1054" s="28">
        <v>95.9452</v>
      </c>
      <c r="H1054" s="15">
        <v>45419</v>
      </c>
      <c r="I1054">
        <v>100</v>
      </c>
      <c r="J1054">
        <v>50000</v>
      </c>
      <c r="K1054" s="28">
        <v>6</v>
      </c>
      <c r="L1054">
        <v>7.54</v>
      </c>
    </row>
    <row r="1055" spans="1:12" ht="15" customHeight="1" x14ac:dyDescent="0.2">
      <c r="A1055" s="28" t="s">
        <v>8</v>
      </c>
      <c r="B1055" t="s">
        <v>30</v>
      </c>
      <c r="C1055" s="30" t="s">
        <v>55</v>
      </c>
      <c r="D1055" s="28">
        <f>YEAR(TableauFlitrage[[#This Row],[Date_d_adjudication]])</f>
        <v>2021</v>
      </c>
      <c r="E1055" s="28">
        <f t="shared" si="17"/>
        <v>5</v>
      </c>
      <c r="F1055" s="15">
        <v>44321</v>
      </c>
      <c r="G1055" s="28">
        <v>96.007000000000005</v>
      </c>
      <c r="H1055" s="15">
        <v>46149</v>
      </c>
      <c r="I1055">
        <v>100</v>
      </c>
      <c r="J1055">
        <v>20000</v>
      </c>
      <c r="K1055" s="28">
        <v>6.5</v>
      </c>
      <c r="L1055">
        <v>7.47</v>
      </c>
    </row>
    <row r="1056" spans="1:12" ht="15" customHeight="1" x14ac:dyDescent="0.2">
      <c r="A1056" s="28" t="s">
        <v>8</v>
      </c>
      <c r="B1056" t="s">
        <v>30</v>
      </c>
      <c r="C1056" s="30" t="s">
        <v>56</v>
      </c>
      <c r="D1056" s="28">
        <f>YEAR(TableauFlitrage[[#This Row],[Date_d_adjudication]])</f>
        <v>2021</v>
      </c>
      <c r="E1056" s="28">
        <f t="shared" si="17"/>
        <v>5</v>
      </c>
      <c r="F1056" s="15">
        <v>44321</v>
      </c>
      <c r="G1056" s="28">
        <v>96.000699999999995</v>
      </c>
      <c r="H1056" s="15">
        <v>45784</v>
      </c>
      <c r="I1056">
        <v>100</v>
      </c>
      <c r="J1056">
        <v>50000</v>
      </c>
      <c r="K1056" s="28">
        <v>6.25</v>
      </c>
      <c r="L1056">
        <v>7.42</v>
      </c>
    </row>
    <row r="1057" spans="1:12" ht="15" customHeight="1" x14ac:dyDescent="0.2">
      <c r="A1057" s="28" t="s">
        <v>8</v>
      </c>
      <c r="B1057" t="s">
        <v>30</v>
      </c>
      <c r="C1057" s="30" t="s">
        <v>53</v>
      </c>
      <c r="D1057" s="28">
        <f>YEAR(TableauFlitrage[[#This Row],[Date_d_adjudication]])</f>
        <v>2021</v>
      </c>
      <c r="E1057" s="28">
        <f t="shared" si="17"/>
        <v>5</v>
      </c>
      <c r="F1057" s="15">
        <v>44321</v>
      </c>
      <c r="G1057" s="28">
        <v>100.4438</v>
      </c>
      <c r="H1057" s="15">
        <v>44661</v>
      </c>
      <c r="I1057">
        <v>120</v>
      </c>
      <c r="J1057">
        <v>10000</v>
      </c>
      <c r="K1057" s="28">
        <v>6</v>
      </c>
      <c r="L1057">
        <v>5.54</v>
      </c>
    </row>
    <row r="1058" spans="1:12" ht="15" customHeight="1" x14ac:dyDescent="0.2">
      <c r="A1058" s="28" t="s">
        <v>8</v>
      </c>
      <c r="B1058" t="s">
        <v>30</v>
      </c>
      <c r="C1058" s="30" t="s">
        <v>53</v>
      </c>
      <c r="D1058" s="28">
        <f>YEAR(TableauFlitrage[[#This Row],[Date_d_adjudication]])</f>
        <v>2021</v>
      </c>
      <c r="E1058" s="28">
        <f t="shared" si="17"/>
        <v>5</v>
      </c>
      <c r="F1058" s="15">
        <v>44321</v>
      </c>
      <c r="G1058" s="28">
        <v>102.8425</v>
      </c>
      <c r="H1058" s="15">
        <v>44522</v>
      </c>
      <c r="I1058">
        <v>58</v>
      </c>
      <c r="J1058">
        <v>10000</v>
      </c>
      <c r="K1058" s="28">
        <v>6.25</v>
      </c>
      <c r="L1058">
        <v>3.34</v>
      </c>
    </row>
    <row r="1059" spans="1:12" ht="15" customHeight="1" x14ac:dyDescent="0.2">
      <c r="A1059" s="28" t="s">
        <v>8</v>
      </c>
      <c r="B1059" t="s">
        <v>30</v>
      </c>
      <c r="C1059" s="30" t="s">
        <v>53</v>
      </c>
      <c r="D1059" s="28">
        <f>YEAR(TableauFlitrage[[#This Row],[Date_d_adjudication]])</f>
        <v>2021</v>
      </c>
      <c r="E1059" s="28">
        <f t="shared" si="17"/>
        <v>5</v>
      </c>
      <c r="F1059" s="15">
        <v>44321</v>
      </c>
      <c r="G1059" s="28">
        <v>102.4164</v>
      </c>
      <c r="H1059" s="15">
        <v>44906</v>
      </c>
      <c r="I1059">
        <v>100</v>
      </c>
      <c r="J1059">
        <v>10000</v>
      </c>
      <c r="K1059" s="28">
        <v>6</v>
      </c>
      <c r="L1059">
        <v>4.72</v>
      </c>
    </row>
    <row r="1060" spans="1:12" ht="15" customHeight="1" x14ac:dyDescent="0.2">
      <c r="A1060" s="28" t="s">
        <v>8</v>
      </c>
      <c r="B1060" t="s">
        <v>30</v>
      </c>
      <c r="C1060" s="30" t="s">
        <v>53</v>
      </c>
      <c r="D1060" s="28">
        <f>YEAR(TableauFlitrage[[#This Row],[Date_d_adjudication]])</f>
        <v>2021</v>
      </c>
      <c r="E1060" s="28">
        <f t="shared" si="17"/>
        <v>5</v>
      </c>
      <c r="F1060" s="15">
        <v>44321</v>
      </c>
      <c r="G1060" s="28">
        <v>103.10680000000001</v>
      </c>
      <c r="H1060" s="15">
        <v>44864</v>
      </c>
      <c r="I1060">
        <v>100</v>
      </c>
      <c r="J1060">
        <v>10000</v>
      </c>
      <c r="K1060" s="28">
        <v>6</v>
      </c>
      <c r="L1060">
        <v>2.83</v>
      </c>
    </row>
    <row r="1061" spans="1:12" ht="15" customHeight="1" x14ac:dyDescent="0.2">
      <c r="A1061" s="28" t="s">
        <v>8</v>
      </c>
      <c r="B1061" t="s">
        <v>30</v>
      </c>
      <c r="C1061" s="30" t="s">
        <v>53</v>
      </c>
      <c r="D1061" s="28">
        <f>YEAR(TableauFlitrage[[#This Row],[Date_d_adjudication]])</f>
        <v>2021</v>
      </c>
      <c r="E1061" s="28">
        <f t="shared" si="17"/>
        <v>5</v>
      </c>
      <c r="F1061" s="15">
        <v>44321</v>
      </c>
      <c r="G1061" s="28">
        <v>105.1781</v>
      </c>
      <c r="H1061" s="15">
        <v>44738</v>
      </c>
      <c r="I1061">
        <v>261.63819999999998</v>
      </c>
      <c r="J1061">
        <v>8500</v>
      </c>
      <c r="K1061" s="28">
        <v>6</v>
      </c>
      <c r="L1061">
        <v>0.79</v>
      </c>
    </row>
    <row r="1062" spans="1:12" ht="15" customHeight="1" x14ac:dyDescent="0.2">
      <c r="A1062" s="28" t="s">
        <v>9</v>
      </c>
      <c r="B1062" s="2" t="s">
        <v>29</v>
      </c>
      <c r="C1062" s="30">
        <v>0.5</v>
      </c>
      <c r="D1062" s="28">
        <f>YEAR(TableauFlitrage[[#This Row],[Date_d_adjudication]])</f>
        <v>2021</v>
      </c>
      <c r="E1062" s="28">
        <f t="shared" si="17"/>
        <v>5</v>
      </c>
      <c r="F1062" s="15">
        <v>44328</v>
      </c>
      <c r="G1062" s="28">
        <v>97.264318000000003</v>
      </c>
      <c r="H1062" s="15">
        <v>44512</v>
      </c>
      <c r="I1062">
        <v>211.88</v>
      </c>
      <c r="J1062">
        <v>12500</v>
      </c>
      <c r="K1062" s="28">
        <v>5.4112</v>
      </c>
    </row>
    <row r="1063" spans="1:12" ht="15" customHeight="1" x14ac:dyDescent="0.2">
      <c r="A1063" s="28" t="s">
        <v>7</v>
      </c>
      <c r="B1063" s="2" t="s">
        <v>29</v>
      </c>
      <c r="C1063" s="30">
        <v>0.5</v>
      </c>
      <c r="D1063" s="28">
        <f>YEAR(TableauFlitrage[[#This Row],[Date_d_adjudication]])</f>
        <v>2021</v>
      </c>
      <c r="E1063" s="28">
        <f t="shared" si="17"/>
        <v>5</v>
      </c>
      <c r="F1063" s="15">
        <v>44328</v>
      </c>
      <c r="G1063" s="28">
        <v>99.017706000000004</v>
      </c>
      <c r="H1063" s="15">
        <v>44512</v>
      </c>
      <c r="I1063">
        <v>228.416</v>
      </c>
      <c r="J1063">
        <v>25000</v>
      </c>
      <c r="K1063" s="28">
        <v>1.9430000000000001</v>
      </c>
    </row>
    <row r="1064" spans="1:12" ht="15" customHeight="1" x14ac:dyDescent="0.2">
      <c r="A1064" s="28" t="s">
        <v>10</v>
      </c>
      <c r="B1064" s="2" t="s">
        <v>29</v>
      </c>
      <c r="C1064" s="30">
        <v>1</v>
      </c>
      <c r="D1064" s="28">
        <f>YEAR(TableauFlitrage[[#This Row],[Date_d_adjudication]])</f>
        <v>2021</v>
      </c>
      <c r="E1064" s="28">
        <f t="shared" si="17"/>
        <v>5</v>
      </c>
      <c r="F1064" s="15">
        <v>44328</v>
      </c>
      <c r="G1064" s="28">
        <v>93.613147999999995</v>
      </c>
      <c r="H1064" s="15">
        <v>44694</v>
      </c>
      <c r="I1064">
        <v>167.58</v>
      </c>
      <c r="J1064">
        <v>15000</v>
      </c>
      <c r="K1064" s="28">
        <v>6.3167</v>
      </c>
    </row>
    <row r="1065" spans="1:12" ht="15" customHeight="1" x14ac:dyDescent="0.2">
      <c r="A1065" s="28" t="s">
        <v>11</v>
      </c>
      <c r="B1065" s="2" t="s">
        <v>29</v>
      </c>
      <c r="C1065" s="30">
        <v>1</v>
      </c>
      <c r="D1065" s="28">
        <f>YEAR(TableauFlitrage[[#This Row],[Date_d_adjudication]])</f>
        <v>2021</v>
      </c>
      <c r="E1065" s="28">
        <f t="shared" si="17"/>
        <v>5</v>
      </c>
      <c r="F1065" s="15">
        <v>44328</v>
      </c>
      <c r="G1065" s="28">
        <v>93.427778000000004</v>
      </c>
      <c r="H1065" s="15">
        <v>44694</v>
      </c>
      <c r="I1065">
        <v>83.0672</v>
      </c>
      <c r="J1065">
        <v>36450</v>
      </c>
      <c r="K1065" s="28">
        <v>6.5</v>
      </c>
    </row>
    <row r="1066" spans="1:12" ht="15" customHeight="1" x14ac:dyDescent="0.2">
      <c r="A1066" s="28" t="s">
        <v>8</v>
      </c>
      <c r="B1066" t="s">
        <v>30</v>
      </c>
      <c r="C1066" s="30" t="s">
        <v>54</v>
      </c>
      <c r="D1066" s="28">
        <f>YEAR(TableauFlitrage[[#This Row],[Date_d_adjudication]])</f>
        <v>2021</v>
      </c>
      <c r="E1066" s="28">
        <f t="shared" si="17"/>
        <v>5</v>
      </c>
      <c r="F1066" s="15">
        <v>44328</v>
      </c>
      <c r="G1066" s="28">
        <v>94.058800000000005</v>
      </c>
      <c r="H1066" s="15">
        <v>45426</v>
      </c>
      <c r="I1066">
        <v>90</v>
      </c>
      <c r="J1066">
        <v>15000</v>
      </c>
      <c r="K1066" s="28">
        <v>6</v>
      </c>
      <c r="L1066">
        <v>8.2799999999999994</v>
      </c>
    </row>
    <row r="1067" spans="1:12" ht="15" customHeight="1" x14ac:dyDescent="0.2">
      <c r="A1067" s="28" t="s">
        <v>9</v>
      </c>
      <c r="B1067" s="2" t="s">
        <v>29</v>
      </c>
      <c r="C1067" s="30">
        <v>0.25</v>
      </c>
      <c r="D1067" s="28">
        <f>YEAR(TableauFlitrage[[#This Row],[Date_d_adjudication]])</f>
        <v>2021</v>
      </c>
      <c r="E1067" s="28">
        <f t="shared" si="17"/>
        <v>5</v>
      </c>
      <c r="F1067" s="15">
        <v>44335</v>
      </c>
      <c r="G1067" s="28">
        <v>98.721528000000006</v>
      </c>
      <c r="H1067" s="15">
        <v>44428</v>
      </c>
      <c r="I1067">
        <v>43.333300000000001</v>
      </c>
      <c r="J1067">
        <v>15000</v>
      </c>
      <c r="K1067" s="28">
        <v>5.0576999999999996</v>
      </c>
    </row>
    <row r="1068" spans="1:12" ht="15" customHeight="1" x14ac:dyDescent="0.2">
      <c r="A1068" s="28" t="s">
        <v>11</v>
      </c>
      <c r="B1068" s="2" t="s">
        <v>29</v>
      </c>
      <c r="C1068" s="30">
        <v>1</v>
      </c>
      <c r="D1068" s="28">
        <f>YEAR(TableauFlitrage[[#This Row],[Date_d_adjudication]])</f>
        <v>2021</v>
      </c>
      <c r="E1068" s="28">
        <f t="shared" si="17"/>
        <v>5</v>
      </c>
      <c r="F1068" s="15">
        <v>44335</v>
      </c>
      <c r="G1068" s="28">
        <v>93.477884000000003</v>
      </c>
      <c r="H1068" s="15">
        <v>44701</v>
      </c>
      <c r="I1068">
        <v>84.84</v>
      </c>
      <c r="J1068">
        <v>30000</v>
      </c>
      <c r="K1068" s="28">
        <v>6.4504000000000001</v>
      </c>
    </row>
    <row r="1069" spans="1:12" ht="15" customHeight="1" x14ac:dyDescent="0.2">
      <c r="A1069" s="28" t="s">
        <v>9</v>
      </c>
      <c r="B1069" s="2" t="s">
        <v>29</v>
      </c>
      <c r="C1069" s="30">
        <v>0.25</v>
      </c>
      <c r="D1069" s="28">
        <f>YEAR(TableauFlitrage[[#This Row],[Date_d_adjudication]])</f>
        <v>2021</v>
      </c>
      <c r="E1069" s="28">
        <f t="shared" si="17"/>
        <v>5</v>
      </c>
      <c r="F1069" s="15">
        <v>44342</v>
      </c>
      <c r="G1069" s="28">
        <v>98.693601999999998</v>
      </c>
      <c r="H1069" s="15">
        <v>44435</v>
      </c>
      <c r="I1069">
        <v>185.33330000000001</v>
      </c>
      <c r="J1069">
        <v>15000</v>
      </c>
      <c r="K1069" s="28">
        <v>5.1681999999999997</v>
      </c>
    </row>
    <row r="1070" spans="1:12" ht="15" customHeight="1" x14ac:dyDescent="0.2">
      <c r="A1070" s="28" t="s">
        <v>8</v>
      </c>
      <c r="B1070" s="2" t="s">
        <v>29</v>
      </c>
      <c r="C1070" s="30">
        <v>0.25</v>
      </c>
      <c r="D1070" s="28">
        <f>YEAR(TableauFlitrage[[#This Row],[Date_d_adjudication]])</f>
        <v>2021</v>
      </c>
      <c r="E1070" s="28">
        <f t="shared" si="17"/>
        <v>5</v>
      </c>
      <c r="F1070" s="15">
        <v>44342</v>
      </c>
      <c r="G1070" s="28">
        <v>98.476420000000005</v>
      </c>
      <c r="H1070" s="15">
        <v>44435</v>
      </c>
      <c r="I1070">
        <v>77.346199999999996</v>
      </c>
      <c r="J1070">
        <v>13000</v>
      </c>
      <c r="K1070" s="28">
        <v>6.0273000000000003</v>
      </c>
    </row>
    <row r="1071" spans="1:12" ht="15" customHeight="1" x14ac:dyDescent="0.2">
      <c r="A1071" s="28" t="s">
        <v>7</v>
      </c>
      <c r="B1071" s="2" t="s">
        <v>29</v>
      </c>
      <c r="C1071" s="30">
        <v>0.5</v>
      </c>
      <c r="D1071" s="28">
        <f>YEAR(TableauFlitrage[[#This Row],[Date_d_adjudication]])</f>
        <v>2021</v>
      </c>
      <c r="E1071" s="28">
        <f t="shared" ref="E1071:E1131" si="18">MONTH(F1071)</f>
        <v>6</v>
      </c>
      <c r="F1071" s="15">
        <v>44349</v>
      </c>
      <c r="G1071" s="28">
        <v>98.995429999999999</v>
      </c>
      <c r="H1071" s="15">
        <v>44533</v>
      </c>
      <c r="I1071">
        <v>216.61500000000001</v>
      </c>
      <c r="J1071">
        <v>20000</v>
      </c>
      <c r="K1071" s="28">
        <v>1.9871000000000001</v>
      </c>
    </row>
    <row r="1072" spans="1:12" ht="15" customHeight="1" x14ac:dyDescent="0.2">
      <c r="A1072" s="28" t="s">
        <v>8</v>
      </c>
      <c r="B1072" s="2" t="s">
        <v>29</v>
      </c>
      <c r="C1072" s="30">
        <v>0.5</v>
      </c>
      <c r="D1072" s="28">
        <f>YEAR(TableauFlitrage[[#This Row],[Date_d_adjudication]])</f>
        <v>2021</v>
      </c>
      <c r="E1072" s="28">
        <f t="shared" si="18"/>
        <v>6</v>
      </c>
      <c r="F1072" s="15">
        <v>44349</v>
      </c>
      <c r="G1072" s="28">
        <v>96.838761000000005</v>
      </c>
      <c r="H1072" s="15">
        <v>44533</v>
      </c>
      <c r="I1072">
        <v>118.42</v>
      </c>
      <c r="J1072">
        <v>10000</v>
      </c>
      <c r="K1072" s="28">
        <v>6.2530000000000001</v>
      </c>
    </row>
    <row r="1073" spans="1:12" ht="15" customHeight="1" x14ac:dyDescent="0.2">
      <c r="A1073" s="28" t="s">
        <v>9</v>
      </c>
      <c r="B1073" s="2" t="s">
        <v>29</v>
      </c>
      <c r="C1073" s="30">
        <v>0.5</v>
      </c>
      <c r="D1073" s="28">
        <f>YEAR(TableauFlitrage[[#This Row],[Date_d_adjudication]])</f>
        <v>2021</v>
      </c>
      <c r="E1073" s="28">
        <f t="shared" si="18"/>
        <v>6</v>
      </c>
      <c r="F1073" s="15">
        <v>44349</v>
      </c>
      <c r="G1073" s="28">
        <v>97.463796000000002</v>
      </c>
      <c r="H1073" s="15">
        <v>44533</v>
      </c>
      <c r="I1073">
        <v>395.83330000000001</v>
      </c>
      <c r="J1073">
        <v>12000</v>
      </c>
      <c r="K1073" s="28">
        <v>5.0167000000000002</v>
      </c>
    </row>
    <row r="1074" spans="1:12" ht="15" customHeight="1" x14ac:dyDescent="0.2">
      <c r="A1074" s="28" t="s">
        <v>11</v>
      </c>
      <c r="B1074" s="2" t="s">
        <v>29</v>
      </c>
      <c r="C1074" s="30">
        <v>1</v>
      </c>
      <c r="D1074" s="28">
        <f>YEAR(TableauFlitrage[[#This Row],[Date_d_adjudication]])</f>
        <v>2021</v>
      </c>
      <c r="E1074" s="28">
        <f t="shared" si="18"/>
        <v>6</v>
      </c>
      <c r="F1074" s="15">
        <v>44349</v>
      </c>
      <c r="G1074" s="28">
        <v>93.427778000000004</v>
      </c>
      <c r="H1074" s="15">
        <v>44715</v>
      </c>
      <c r="I1074">
        <v>94.6541</v>
      </c>
      <c r="J1074">
        <v>37000</v>
      </c>
      <c r="K1074" s="28">
        <v>6.5</v>
      </c>
    </row>
    <row r="1075" spans="1:12" ht="15" customHeight="1" x14ac:dyDescent="0.2">
      <c r="A1075" s="28" t="s">
        <v>7</v>
      </c>
      <c r="B1075" s="2" t="s">
        <v>29</v>
      </c>
      <c r="C1075" s="30">
        <v>0.5</v>
      </c>
      <c r="D1075" s="28">
        <f>YEAR(TableauFlitrage[[#This Row],[Date_d_adjudication]])</f>
        <v>2021</v>
      </c>
      <c r="E1075" s="28">
        <f t="shared" si="18"/>
        <v>6</v>
      </c>
      <c r="F1075" s="15">
        <v>44356</v>
      </c>
      <c r="G1075" s="28">
        <v>98.994787000000002</v>
      </c>
      <c r="H1075" s="15">
        <v>44540</v>
      </c>
      <c r="I1075">
        <v>262.22000000000003</v>
      </c>
      <c r="J1075">
        <v>15000</v>
      </c>
      <c r="K1075" s="28">
        <v>1.9883</v>
      </c>
    </row>
    <row r="1076" spans="1:12" ht="15" customHeight="1" x14ac:dyDescent="0.2">
      <c r="A1076" s="28" t="s">
        <v>19</v>
      </c>
      <c r="B1076" s="2" t="s">
        <v>29</v>
      </c>
      <c r="C1076" s="30">
        <v>1</v>
      </c>
      <c r="D1076" s="28">
        <f>YEAR(TableauFlitrage[[#This Row],[Date_d_adjudication]])</f>
        <v>2021</v>
      </c>
      <c r="E1076" s="28">
        <f t="shared" si="18"/>
        <v>6</v>
      </c>
      <c r="F1076" s="15">
        <v>44356</v>
      </c>
      <c r="G1076" s="28">
        <v>94.059721999999994</v>
      </c>
      <c r="H1076" s="15">
        <v>44722</v>
      </c>
      <c r="I1076">
        <v>100</v>
      </c>
      <c r="J1076">
        <v>6000</v>
      </c>
      <c r="K1076" s="28">
        <v>5.875</v>
      </c>
    </row>
    <row r="1077" spans="1:12" ht="15" customHeight="1" x14ac:dyDescent="0.2">
      <c r="A1077" s="28" t="s">
        <v>9</v>
      </c>
      <c r="B1077" s="2" t="s">
        <v>29</v>
      </c>
      <c r="C1077" s="30">
        <v>1</v>
      </c>
      <c r="D1077" s="28">
        <f>YEAR(TableauFlitrage[[#This Row],[Date_d_adjudication]])</f>
        <v>2021</v>
      </c>
      <c r="E1077" s="28">
        <f t="shared" si="18"/>
        <v>6</v>
      </c>
      <c r="F1077" s="15">
        <v>44356</v>
      </c>
      <c r="G1077" s="28">
        <v>95.075889000000004</v>
      </c>
      <c r="H1077" s="15">
        <v>44722</v>
      </c>
      <c r="I1077">
        <v>170.88800000000001</v>
      </c>
      <c r="J1077">
        <v>12500</v>
      </c>
      <c r="K1077" s="28">
        <v>4.87</v>
      </c>
    </row>
    <row r="1078" spans="1:12" ht="15" customHeight="1" x14ac:dyDescent="0.2">
      <c r="A1078" s="28" t="s">
        <v>10</v>
      </c>
      <c r="B1078" s="2" t="s">
        <v>29</v>
      </c>
      <c r="C1078" s="30">
        <v>1</v>
      </c>
      <c r="D1078" s="28">
        <f>YEAR(TableauFlitrage[[#This Row],[Date_d_adjudication]])</f>
        <v>2021</v>
      </c>
      <c r="E1078" s="28">
        <f t="shared" si="18"/>
        <v>6</v>
      </c>
      <c r="F1078" s="15">
        <v>44356</v>
      </c>
      <c r="G1078" s="28">
        <v>94.167714000000004</v>
      </c>
      <c r="H1078" s="15">
        <v>44722</v>
      </c>
      <c r="I1078">
        <v>125.1267</v>
      </c>
      <c r="J1078">
        <v>15000</v>
      </c>
      <c r="K1078" s="28">
        <v>5.7682000000000002</v>
      </c>
    </row>
    <row r="1079" spans="1:12" ht="15" customHeight="1" x14ac:dyDescent="0.2">
      <c r="A1079" s="28" t="s">
        <v>11</v>
      </c>
      <c r="B1079" s="2" t="s">
        <v>29</v>
      </c>
      <c r="C1079" s="30">
        <v>1</v>
      </c>
      <c r="D1079" s="28">
        <f>YEAR(TableauFlitrage[[#This Row],[Date_d_adjudication]])</f>
        <v>2021</v>
      </c>
      <c r="E1079" s="28">
        <f t="shared" si="18"/>
        <v>6</v>
      </c>
      <c r="F1079" s="15">
        <v>44356</v>
      </c>
      <c r="G1079" s="28">
        <v>93.528889000000007</v>
      </c>
      <c r="H1079" s="15">
        <v>44722</v>
      </c>
      <c r="I1079">
        <v>83.333299999999994</v>
      </c>
      <c r="J1079">
        <v>24000</v>
      </c>
      <c r="K1079" s="28">
        <v>6.4</v>
      </c>
    </row>
    <row r="1080" spans="1:12" ht="15" customHeight="1" x14ac:dyDescent="0.2">
      <c r="A1080" s="28" t="s">
        <v>8</v>
      </c>
      <c r="B1080" t="s">
        <v>30</v>
      </c>
      <c r="C1080" s="30" t="s">
        <v>54</v>
      </c>
      <c r="D1080" s="28">
        <f>YEAR(TableauFlitrage[[#This Row],[Date_d_adjudication]])</f>
        <v>2021</v>
      </c>
      <c r="E1080" s="28">
        <f t="shared" si="18"/>
        <v>6</v>
      </c>
      <c r="F1080" s="15">
        <v>44356</v>
      </c>
      <c r="G1080" s="28">
        <v>94.700199999999995</v>
      </c>
      <c r="H1080" s="15">
        <v>45454</v>
      </c>
      <c r="I1080">
        <v>100</v>
      </c>
      <c r="J1080">
        <v>50000</v>
      </c>
      <c r="K1080" s="28">
        <v>6</v>
      </c>
      <c r="L1080">
        <v>8.02</v>
      </c>
    </row>
    <row r="1081" spans="1:12" ht="15" customHeight="1" x14ac:dyDescent="0.2">
      <c r="A1081" s="28" t="s">
        <v>8</v>
      </c>
      <c r="B1081" t="s">
        <v>30</v>
      </c>
      <c r="C1081" s="30" t="s">
        <v>56</v>
      </c>
      <c r="D1081" s="28">
        <f>YEAR(TableauFlitrage[[#This Row],[Date_d_adjudication]])</f>
        <v>2021</v>
      </c>
      <c r="E1081" s="28">
        <f t="shared" si="18"/>
        <v>6</v>
      </c>
      <c r="F1081" s="15">
        <v>44356</v>
      </c>
      <c r="G1081" s="28">
        <v>93.876499999999993</v>
      </c>
      <c r="H1081" s="15">
        <v>45819</v>
      </c>
      <c r="I1081">
        <v>66.8</v>
      </c>
      <c r="J1081">
        <v>15000</v>
      </c>
      <c r="K1081" s="28">
        <v>6.25</v>
      </c>
      <c r="L1081">
        <v>8.07</v>
      </c>
    </row>
    <row r="1082" spans="1:12" ht="15" customHeight="1" x14ac:dyDescent="0.2">
      <c r="A1082" s="28" t="s">
        <v>9</v>
      </c>
      <c r="B1082" t="s">
        <v>30</v>
      </c>
      <c r="C1082" s="30" t="s">
        <v>55</v>
      </c>
      <c r="D1082" s="28">
        <f>YEAR(TableauFlitrage[[#This Row],[Date_d_adjudication]])</f>
        <v>2021</v>
      </c>
      <c r="E1082" s="28">
        <f t="shared" si="18"/>
        <v>6</v>
      </c>
      <c r="F1082" s="15">
        <v>44356</v>
      </c>
      <c r="G1082" s="28">
        <v>95.651899999999998</v>
      </c>
      <c r="H1082" s="15">
        <v>45925</v>
      </c>
      <c r="I1082">
        <v>124.5667</v>
      </c>
      <c r="J1082">
        <v>15000</v>
      </c>
      <c r="K1082" s="28">
        <v>6.5</v>
      </c>
      <c r="L1082">
        <v>7.79</v>
      </c>
    </row>
    <row r="1083" spans="1:12" ht="15" customHeight="1" x14ac:dyDescent="0.2">
      <c r="A1083" s="28" t="s">
        <v>9</v>
      </c>
      <c r="B1083" t="s">
        <v>30</v>
      </c>
      <c r="C1083" s="30" t="s">
        <v>53</v>
      </c>
      <c r="D1083" s="28">
        <f>YEAR(TableauFlitrage[[#This Row],[Date_d_adjudication]])</f>
        <v>2021</v>
      </c>
      <c r="E1083" s="28">
        <f t="shared" si="18"/>
        <v>6</v>
      </c>
      <c r="F1083" s="15">
        <v>44356</v>
      </c>
      <c r="G1083" s="28">
        <v>92.293000000000006</v>
      </c>
      <c r="H1083" s="15">
        <v>45088</v>
      </c>
      <c r="I1083">
        <v>150.1</v>
      </c>
      <c r="J1083">
        <v>25000</v>
      </c>
      <c r="K1083" s="28">
        <v>4.75</v>
      </c>
      <c r="L1083">
        <v>9.0500000000000007</v>
      </c>
    </row>
    <row r="1084" spans="1:12" ht="15" customHeight="1" x14ac:dyDescent="0.2">
      <c r="A1084" s="28" t="s">
        <v>8</v>
      </c>
      <c r="B1084" s="2" t="s">
        <v>29</v>
      </c>
      <c r="C1084" s="30">
        <v>0.5</v>
      </c>
      <c r="D1084" s="28">
        <f>YEAR(TableauFlitrage[[#This Row],[Date_d_adjudication]])</f>
        <v>2021</v>
      </c>
      <c r="E1084" s="28">
        <f t="shared" si="18"/>
        <v>6</v>
      </c>
      <c r="F1084" s="15">
        <v>44363</v>
      </c>
      <c r="G1084" s="28">
        <v>96.935490000000001</v>
      </c>
      <c r="H1084" s="15">
        <v>44547</v>
      </c>
      <c r="I1084">
        <v>72.56</v>
      </c>
      <c r="J1084">
        <v>10000</v>
      </c>
      <c r="K1084" s="28">
        <v>6.0536000000000003</v>
      </c>
    </row>
    <row r="1085" spans="1:12" ht="15" customHeight="1" x14ac:dyDescent="0.2">
      <c r="A1085" s="28" t="s">
        <v>9</v>
      </c>
      <c r="B1085" s="2" t="s">
        <v>29</v>
      </c>
      <c r="C1085" s="30">
        <v>0.5</v>
      </c>
      <c r="D1085" s="28">
        <f>YEAR(TableauFlitrage[[#This Row],[Date_d_adjudication]])</f>
        <v>2021</v>
      </c>
      <c r="E1085" s="28">
        <f t="shared" si="18"/>
        <v>6</v>
      </c>
      <c r="F1085" s="15">
        <v>44363</v>
      </c>
      <c r="G1085" s="28">
        <v>97.571310999999994</v>
      </c>
      <c r="H1085" s="15">
        <v>44547</v>
      </c>
      <c r="I1085">
        <v>348.40800000000002</v>
      </c>
      <c r="J1085">
        <v>12500</v>
      </c>
      <c r="K1085" s="28">
        <v>4.8040000000000003</v>
      </c>
    </row>
    <row r="1086" spans="1:12" ht="15" customHeight="1" x14ac:dyDescent="0.2">
      <c r="A1086" s="28" t="s">
        <v>11</v>
      </c>
      <c r="B1086" s="2" t="s">
        <v>29</v>
      </c>
      <c r="C1086" s="30">
        <v>1</v>
      </c>
      <c r="D1086" s="28">
        <f>YEAR(TableauFlitrage[[#This Row],[Date_d_adjudication]])</f>
        <v>2021</v>
      </c>
      <c r="E1086" s="28">
        <f t="shared" si="18"/>
        <v>6</v>
      </c>
      <c r="F1086" s="15">
        <v>44363</v>
      </c>
      <c r="G1086" s="28">
        <v>93.359472699999998</v>
      </c>
      <c r="H1086" s="15">
        <v>44729</v>
      </c>
      <c r="I1086">
        <v>59.363900000000001</v>
      </c>
      <c r="J1086">
        <v>72000</v>
      </c>
      <c r="K1086" s="28">
        <v>6.3349000000000002</v>
      </c>
    </row>
    <row r="1087" spans="1:12" ht="15" customHeight="1" x14ac:dyDescent="0.2">
      <c r="A1087" s="28" t="s">
        <v>7</v>
      </c>
      <c r="B1087" t="s">
        <v>30</v>
      </c>
      <c r="C1087" s="30" t="s">
        <v>57</v>
      </c>
      <c r="D1087" s="28">
        <f>YEAR(TableauFlitrage[[#This Row],[Date_d_adjudication]])</f>
        <v>2021</v>
      </c>
      <c r="E1087" s="28">
        <f t="shared" si="18"/>
        <v>6</v>
      </c>
      <c r="F1087" s="15">
        <v>44363</v>
      </c>
      <c r="G1087" s="28">
        <v>99.176299999999998</v>
      </c>
      <c r="H1087" s="15">
        <v>46556</v>
      </c>
      <c r="I1087">
        <v>80.576999999999998</v>
      </c>
      <c r="J1087">
        <v>50000</v>
      </c>
      <c r="K1087" s="28">
        <v>6</v>
      </c>
      <c r="L1087">
        <v>6.17</v>
      </c>
    </row>
    <row r="1088" spans="1:12" ht="15" customHeight="1" x14ac:dyDescent="0.2">
      <c r="A1088" s="28" t="s">
        <v>7</v>
      </c>
      <c r="B1088" s="2" t="s">
        <v>29</v>
      </c>
      <c r="C1088" s="30">
        <v>0.25</v>
      </c>
      <c r="D1088" s="28">
        <f>YEAR(TableauFlitrage[[#This Row],[Date_d_adjudication]])</f>
        <v>2021</v>
      </c>
      <c r="E1088" s="28">
        <f t="shared" si="18"/>
        <v>6</v>
      </c>
      <c r="F1088" s="15">
        <v>44370</v>
      </c>
      <c r="G1088" s="28">
        <v>99.499752999999998</v>
      </c>
      <c r="H1088" s="15">
        <v>44463</v>
      </c>
      <c r="I1088">
        <v>149.33199999999999</v>
      </c>
      <c r="J1088">
        <v>25000</v>
      </c>
      <c r="K1088" s="28">
        <v>1.9790000000000001</v>
      </c>
    </row>
    <row r="1089" spans="1:12" ht="15" customHeight="1" x14ac:dyDescent="0.2">
      <c r="A1089" s="28" t="s">
        <v>9</v>
      </c>
      <c r="B1089" s="2" t="s">
        <v>29</v>
      </c>
      <c r="C1089" s="30">
        <v>0.25</v>
      </c>
      <c r="D1089" s="28">
        <f>YEAR(TableauFlitrage[[#This Row],[Date_d_adjudication]])</f>
        <v>2021</v>
      </c>
      <c r="E1089" s="28">
        <f t="shared" si="18"/>
        <v>6</v>
      </c>
      <c r="F1089" s="15">
        <v>44370</v>
      </c>
      <c r="G1089" s="28">
        <v>98.874409999999997</v>
      </c>
      <c r="H1089" s="15">
        <v>44463</v>
      </c>
      <c r="I1089">
        <v>244.5154</v>
      </c>
      <c r="J1089">
        <v>13000</v>
      </c>
      <c r="K1089" s="28">
        <v>4.4528999999999996</v>
      </c>
    </row>
    <row r="1090" spans="1:12" ht="15" customHeight="1" x14ac:dyDescent="0.2">
      <c r="A1090" s="28" t="s">
        <v>11</v>
      </c>
      <c r="B1090" s="2" t="s">
        <v>29</v>
      </c>
      <c r="C1090" s="30">
        <v>1</v>
      </c>
      <c r="D1090" s="28">
        <f>YEAR(TableauFlitrage[[#This Row],[Date_d_adjudication]])</f>
        <v>2021</v>
      </c>
      <c r="E1090" s="28">
        <f t="shared" si="18"/>
        <v>6</v>
      </c>
      <c r="F1090" s="15">
        <v>44370</v>
      </c>
      <c r="G1090" s="28">
        <v>93.412931</v>
      </c>
      <c r="H1090" s="15">
        <v>44736</v>
      </c>
      <c r="I1090">
        <v>81.040000000000006</v>
      </c>
      <c r="J1090">
        <v>25000</v>
      </c>
      <c r="K1090" s="28">
        <v>6.5147000000000004</v>
      </c>
    </row>
    <row r="1091" spans="1:12" ht="15" customHeight="1" x14ac:dyDescent="0.2">
      <c r="A1091" s="28" t="s">
        <v>8</v>
      </c>
      <c r="B1091" t="s">
        <v>30</v>
      </c>
      <c r="C1091" s="30" t="s">
        <v>55</v>
      </c>
      <c r="D1091" s="28">
        <f>YEAR(TableauFlitrage[[#This Row],[Date_d_adjudication]])</f>
        <v>2021</v>
      </c>
      <c r="E1091" s="28">
        <f t="shared" si="18"/>
        <v>6</v>
      </c>
      <c r="F1091" s="15">
        <v>44370</v>
      </c>
      <c r="G1091" s="28">
        <v>92.372600000000006</v>
      </c>
      <c r="H1091" s="15">
        <v>46149</v>
      </c>
      <c r="I1091">
        <v>60</v>
      </c>
      <c r="J1091">
        <v>10000</v>
      </c>
      <c r="K1091" s="28">
        <v>6.5</v>
      </c>
      <c r="L1091">
        <v>8.4</v>
      </c>
    </row>
    <row r="1092" spans="1:12" ht="15" customHeight="1" x14ac:dyDescent="0.2">
      <c r="A1092" s="28" t="s">
        <v>8</v>
      </c>
      <c r="B1092" t="s">
        <v>30</v>
      </c>
      <c r="C1092" s="30" t="s">
        <v>53</v>
      </c>
      <c r="D1092" s="28">
        <f>YEAR(TableauFlitrage[[#This Row],[Date_d_adjudication]])</f>
        <v>2021</v>
      </c>
      <c r="E1092" s="28">
        <f t="shared" si="18"/>
        <v>6</v>
      </c>
      <c r="F1092" s="15">
        <v>44370</v>
      </c>
      <c r="G1092" s="28">
        <v>93.978700000000003</v>
      </c>
      <c r="H1092" s="15">
        <v>45102</v>
      </c>
      <c r="I1092">
        <v>52.207000000000001</v>
      </c>
      <c r="J1092">
        <v>10000</v>
      </c>
      <c r="K1092" s="28">
        <v>5.5</v>
      </c>
      <c r="L1092">
        <v>8.85</v>
      </c>
    </row>
    <row r="1093" spans="1:12" ht="15" customHeight="1" x14ac:dyDescent="0.2">
      <c r="A1093" s="28" t="s">
        <v>8</v>
      </c>
      <c r="B1093" t="s">
        <v>30</v>
      </c>
      <c r="C1093" s="30" t="s">
        <v>54</v>
      </c>
      <c r="D1093" s="28">
        <f>YEAR(TableauFlitrage[[#This Row],[Date_d_adjudication]])</f>
        <v>2021</v>
      </c>
      <c r="E1093" s="28">
        <f t="shared" si="18"/>
        <v>6</v>
      </c>
      <c r="F1093" s="15">
        <v>44370</v>
      </c>
      <c r="G1093" s="28">
        <v>93.738799999999998</v>
      </c>
      <c r="H1093" s="15">
        <v>45468</v>
      </c>
      <c r="I1093">
        <v>54.973300000000002</v>
      </c>
      <c r="J1093">
        <v>10000</v>
      </c>
      <c r="K1093" s="28">
        <v>6</v>
      </c>
      <c r="L1093">
        <v>8.41</v>
      </c>
    </row>
    <row r="1094" spans="1:12" ht="15" customHeight="1" x14ac:dyDescent="0.2">
      <c r="A1094" s="28" t="s">
        <v>8</v>
      </c>
      <c r="B1094" t="s">
        <v>30</v>
      </c>
      <c r="C1094" s="30" t="s">
        <v>56</v>
      </c>
      <c r="D1094" s="28">
        <f>YEAR(TableauFlitrage[[#This Row],[Date_d_adjudication]])</f>
        <v>2021</v>
      </c>
      <c r="E1094" s="28">
        <f t="shared" si="18"/>
        <v>6</v>
      </c>
      <c r="F1094" s="15">
        <v>44370</v>
      </c>
      <c r="G1094" s="28">
        <v>93.780900000000003</v>
      </c>
      <c r="H1094" s="15">
        <v>45833</v>
      </c>
      <c r="I1094">
        <v>56.15</v>
      </c>
      <c r="J1094">
        <v>10000</v>
      </c>
      <c r="K1094" s="28">
        <v>6.25</v>
      </c>
      <c r="L1094">
        <v>8.1</v>
      </c>
    </row>
    <row r="1095" spans="1:12" ht="15" customHeight="1" x14ac:dyDescent="0.2">
      <c r="A1095" s="28" t="s">
        <v>9</v>
      </c>
      <c r="B1095" t="s">
        <v>30</v>
      </c>
      <c r="C1095" s="30" t="s">
        <v>54</v>
      </c>
      <c r="D1095" s="28">
        <f>YEAR(TableauFlitrage[[#This Row],[Date_d_adjudication]])</f>
        <v>2021</v>
      </c>
      <c r="E1095" s="28">
        <f t="shared" si="18"/>
        <v>6</v>
      </c>
      <c r="F1095" s="15">
        <v>44370</v>
      </c>
      <c r="G1095" s="28">
        <v>92.839500000000001</v>
      </c>
      <c r="H1095" s="15">
        <v>45468</v>
      </c>
      <c r="I1095">
        <v>191.44720000000001</v>
      </c>
      <c r="J1095">
        <v>25000</v>
      </c>
      <c r="K1095" s="28">
        <v>5.5</v>
      </c>
      <c r="L1095">
        <v>8.24</v>
      </c>
    </row>
    <row r="1096" spans="1:12" ht="15" customHeight="1" x14ac:dyDescent="0.2">
      <c r="A1096" s="28" t="s">
        <v>9</v>
      </c>
      <c r="B1096" s="2" t="s">
        <v>29</v>
      </c>
      <c r="C1096" s="30">
        <v>0.5</v>
      </c>
      <c r="D1096" s="28">
        <f>YEAR(TableauFlitrage[[#This Row],[Date_d_adjudication]])</f>
        <v>2021</v>
      </c>
      <c r="E1096" s="28">
        <f t="shared" si="18"/>
        <v>6</v>
      </c>
      <c r="F1096" s="15">
        <v>44377</v>
      </c>
      <c r="G1096" s="28">
        <v>97.732583000000005</v>
      </c>
      <c r="H1096" s="15">
        <v>44561</v>
      </c>
      <c r="I1096">
        <v>235.24</v>
      </c>
      <c r="J1096">
        <v>10000</v>
      </c>
      <c r="K1096" s="28">
        <v>4.7850000000000001</v>
      </c>
    </row>
    <row r="1097" spans="1:12" ht="15" customHeight="1" x14ac:dyDescent="0.2">
      <c r="A1097" s="28" t="s">
        <v>10</v>
      </c>
      <c r="B1097" s="2" t="s">
        <v>29</v>
      </c>
      <c r="C1097" s="30">
        <v>1</v>
      </c>
      <c r="D1097" s="28">
        <f>YEAR(TableauFlitrage[[#This Row],[Date_d_adjudication]])</f>
        <v>2021</v>
      </c>
      <c r="E1097" s="28">
        <f t="shared" si="18"/>
        <v>6</v>
      </c>
      <c r="F1097" s="15">
        <v>44377</v>
      </c>
      <c r="G1097" s="28">
        <v>92.563783000000001</v>
      </c>
      <c r="H1097" s="15">
        <v>44743</v>
      </c>
      <c r="I1097">
        <v>128.75</v>
      </c>
      <c r="J1097">
        <v>20000</v>
      </c>
      <c r="K1097" s="28">
        <v>7.3544999999999998</v>
      </c>
    </row>
    <row r="1098" spans="1:12" ht="15" customHeight="1" x14ac:dyDescent="0.2">
      <c r="A1098" s="28" t="s">
        <v>8</v>
      </c>
      <c r="B1098" t="s">
        <v>30</v>
      </c>
      <c r="C1098" s="30" t="s">
        <v>53</v>
      </c>
      <c r="D1098" s="28">
        <f>YEAR(TableauFlitrage[[#This Row],[Date_d_adjudication]])</f>
        <v>2021</v>
      </c>
      <c r="E1098" s="28">
        <f t="shared" si="18"/>
        <v>6</v>
      </c>
      <c r="F1098" s="15">
        <v>44377</v>
      </c>
      <c r="G1098" s="28">
        <v>92.9893</v>
      </c>
      <c r="H1098" s="15">
        <v>45102</v>
      </c>
      <c r="I1098">
        <v>70.150000000000006</v>
      </c>
      <c r="J1098">
        <v>20000</v>
      </c>
      <c r="K1098" s="28">
        <v>5.5</v>
      </c>
      <c r="L1098">
        <v>9.43</v>
      </c>
    </row>
    <row r="1099" spans="1:12" ht="15" customHeight="1" x14ac:dyDescent="0.2">
      <c r="A1099" s="28" t="s">
        <v>11</v>
      </c>
      <c r="B1099" t="s">
        <v>30</v>
      </c>
      <c r="C1099" s="30" t="s">
        <v>53</v>
      </c>
      <c r="D1099" s="28">
        <f>YEAR(TableauFlitrage[[#This Row],[Date_d_adjudication]])</f>
        <v>2021</v>
      </c>
      <c r="E1099" s="28">
        <f t="shared" si="18"/>
        <v>6</v>
      </c>
      <c r="F1099" s="15">
        <v>44377</v>
      </c>
      <c r="G1099" s="28">
        <v>96</v>
      </c>
      <c r="H1099" s="15">
        <v>45109</v>
      </c>
      <c r="I1099">
        <v>83.333299999999994</v>
      </c>
      <c r="J1099">
        <v>15000</v>
      </c>
      <c r="K1099" s="28">
        <v>5</v>
      </c>
      <c r="L1099">
        <v>7.18</v>
      </c>
    </row>
    <row r="1100" spans="1:12" ht="15" customHeight="1" x14ac:dyDescent="0.2">
      <c r="A1100" s="28" t="s">
        <v>8</v>
      </c>
      <c r="B1100" s="2" t="s">
        <v>29</v>
      </c>
      <c r="C1100" s="30">
        <v>0.5</v>
      </c>
      <c r="D1100" s="28">
        <f>YEAR(TableauFlitrage[[#This Row],[Date_d_adjudication]])</f>
        <v>2021</v>
      </c>
      <c r="E1100" s="28">
        <f t="shared" si="18"/>
        <v>7</v>
      </c>
      <c r="F1100" s="15">
        <v>44384</v>
      </c>
      <c r="G1100" s="28">
        <v>96.687235000000001</v>
      </c>
      <c r="H1100" s="15">
        <v>44568</v>
      </c>
      <c r="I1100">
        <v>98</v>
      </c>
      <c r="J1100">
        <v>15000</v>
      </c>
      <c r="K1100" s="28">
        <v>6.5526999999999997</v>
      </c>
    </row>
    <row r="1101" spans="1:12" ht="15" customHeight="1" x14ac:dyDescent="0.2">
      <c r="A1101" s="28" t="s">
        <v>9</v>
      </c>
      <c r="B1101" s="2" t="s">
        <v>29</v>
      </c>
      <c r="C1101" s="30">
        <v>0.5</v>
      </c>
      <c r="D1101" s="28">
        <f>YEAR(TableauFlitrage[[#This Row],[Date_d_adjudication]])</f>
        <v>2021</v>
      </c>
      <c r="E1101" s="28">
        <f t="shared" si="18"/>
        <v>7</v>
      </c>
      <c r="F1101" s="15">
        <v>44384</v>
      </c>
      <c r="G1101" s="28">
        <v>97.739492999999996</v>
      </c>
      <c r="H1101" s="15">
        <v>44568</v>
      </c>
      <c r="I1101">
        <v>302.2833</v>
      </c>
      <c r="J1101">
        <v>12000</v>
      </c>
      <c r="K1101" s="28">
        <v>4.4713000000000003</v>
      </c>
    </row>
    <row r="1102" spans="1:12" ht="15" customHeight="1" x14ac:dyDescent="0.2">
      <c r="A1102" s="28" t="s">
        <v>11</v>
      </c>
      <c r="B1102" s="2" t="s">
        <v>29</v>
      </c>
      <c r="C1102" s="30">
        <v>0.5</v>
      </c>
      <c r="D1102" s="28">
        <f>YEAR(TableauFlitrage[[#This Row],[Date_d_adjudication]])</f>
        <v>2021</v>
      </c>
      <c r="E1102" s="28">
        <f t="shared" si="18"/>
        <v>7</v>
      </c>
      <c r="F1102" s="15">
        <v>44384</v>
      </c>
      <c r="G1102" s="28">
        <v>96.653025</v>
      </c>
      <c r="H1102" s="15">
        <v>44568</v>
      </c>
      <c r="I1102">
        <v>116.89100000000001</v>
      </c>
      <c r="J1102">
        <v>8543</v>
      </c>
      <c r="K1102" s="28">
        <v>6.6204000000000001</v>
      </c>
    </row>
    <row r="1103" spans="1:12" ht="15" customHeight="1" x14ac:dyDescent="0.2">
      <c r="A1103" s="28" t="s">
        <v>9</v>
      </c>
      <c r="B1103" t="s">
        <v>30</v>
      </c>
      <c r="C1103" s="30" t="s">
        <v>55</v>
      </c>
      <c r="D1103" s="28">
        <f>YEAR(TableauFlitrage[[#This Row],[Date_d_adjudication]])</f>
        <v>2021</v>
      </c>
      <c r="E1103" s="28">
        <f t="shared" si="18"/>
        <v>7</v>
      </c>
      <c r="F1103" s="15">
        <v>44384</v>
      </c>
      <c r="G1103" s="28">
        <v>90.604399999999998</v>
      </c>
      <c r="H1103" s="15">
        <v>46212</v>
      </c>
      <c r="I1103">
        <v>100</v>
      </c>
      <c r="J1103">
        <v>20000</v>
      </c>
      <c r="K1103" s="28">
        <v>6.5</v>
      </c>
      <c r="L1103">
        <v>8.8699999999999992</v>
      </c>
    </row>
    <row r="1104" spans="1:12" ht="15" customHeight="1" x14ac:dyDescent="0.2">
      <c r="A1104" s="28" t="s">
        <v>9</v>
      </c>
      <c r="B1104" t="s">
        <v>30</v>
      </c>
      <c r="C1104" s="30" t="s">
        <v>58</v>
      </c>
      <c r="D1104" s="28">
        <f>YEAR(TableauFlitrage[[#This Row],[Date_d_adjudication]])</f>
        <v>2021</v>
      </c>
      <c r="E1104" s="28">
        <f t="shared" si="18"/>
        <v>7</v>
      </c>
      <c r="F1104" s="15">
        <v>44384</v>
      </c>
      <c r="G1104" s="28">
        <v>92.752099999999999</v>
      </c>
      <c r="H1104" s="15">
        <v>46943</v>
      </c>
      <c r="I1104">
        <v>24.42</v>
      </c>
      <c r="J1104">
        <v>10000</v>
      </c>
      <c r="K1104" s="28">
        <v>7.25</v>
      </c>
      <c r="L1104">
        <v>8.65</v>
      </c>
    </row>
    <row r="1105" spans="1:12" ht="15" customHeight="1" x14ac:dyDescent="0.2">
      <c r="A1105" s="28" t="s">
        <v>10</v>
      </c>
      <c r="B1105" t="s">
        <v>30</v>
      </c>
      <c r="C1105" s="30" t="s">
        <v>54</v>
      </c>
      <c r="D1105" s="28">
        <f>YEAR(TableauFlitrage[[#This Row],[Date_d_adjudication]])</f>
        <v>2021</v>
      </c>
      <c r="E1105" s="28">
        <f t="shared" si="18"/>
        <v>7</v>
      </c>
      <c r="F1105" s="15">
        <v>44384</v>
      </c>
      <c r="G1105" s="28">
        <v>93.013599999999997</v>
      </c>
      <c r="H1105" s="15">
        <v>45482</v>
      </c>
      <c r="I1105">
        <v>101.8182</v>
      </c>
      <c r="J1105">
        <v>55000</v>
      </c>
      <c r="K1105" s="28">
        <v>7</v>
      </c>
      <c r="L1105">
        <v>9.74</v>
      </c>
    </row>
    <row r="1106" spans="1:12" ht="15" customHeight="1" x14ac:dyDescent="0.2">
      <c r="A1106" s="28" t="s">
        <v>7</v>
      </c>
      <c r="B1106" s="2" t="s">
        <v>29</v>
      </c>
      <c r="C1106" s="30">
        <v>0.25</v>
      </c>
      <c r="D1106" s="28">
        <f>YEAR(TableauFlitrage[[#This Row],[Date_d_adjudication]])</f>
        <v>2021</v>
      </c>
      <c r="E1106" s="28">
        <f t="shared" si="18"/>
        <v>7</v>
      </c>
      <c r="F1106" s="15">
        <v>44391</v>
      </c>
      <c r="G1106" s="28">
        <v>99.522503</v>
      </c>
      <c r="H1106" s="15">
        <v>44484</v>
      </c>
      <c r="I1106">
        <v>238</v>
      </c>
      <c r="J1106">
        <v>25000</v>
      </c>
      <c r="K1106" s="28">
        <v>1.889</v>
      </c>
    </row>
    <row r="1107" spans="1:12" ht="15" customHeight="1" x14ac:dyDescent="0.2">
      <c r="A1107" s="28" t="s">
        <v>9</v>
      </c>
      <c r="B1107" s="2" t="s">
        <v>29</v>
      </c>
      <c r="C1107" s="30">
        <v>0.25</v>
      </c>
      <c r="D1107" s="28">
        <f>YEAR(TableauFlitrage[[#This Row],[Date_d_adjudication]])</f>
        <v>2021</v>
      </c>
      <c r="E1107" s="28">
        <f t="shared" si="18"/>
        <v>7</v>
      </c>
      <c r="F1107" s="15">
        <v>44391</v>
      </c>
      <c r="G1107" s="28">
        <v>98.907156999999998</v>
      </c>
      <c r="H1107" s="15">
        <v>44484</v>
      </c>
      <c r="I1107">
        <v>170</v>
      </c>
      <c r="J1107">
        <v>15000</v>
      </c>
      <c r="K1107" s="28">
        <v>4.3232999999999997</v>
      </c>
    </row>
    <row r="1108" spans="1:12" ht="15" customHeight="1" x14ac:dyDescent="0.2">
      <c r="A1108" s="28" t="s">
        <v>11</v>
      </c>
      <c r="B1108" s="2" t="s">
        <v>29</v>
      </c>
      <c r="C1108" s="30">
        <v>1</v>
      </c>
      <c r="D1108" s="28">
        <f>YEAR(TableauFlitrage[[#This Row],[Date_d_adjudication]])</f>
        <v>2021</v>
      </c>
      <c r="E1108" s="28">
        <f t="shared" si="18"/>
        <v>7</v>
      </c>
      <c r="F1108" s="15">
        <v>44391</v>
      </c>
      <c r="G1108" s="28">
        <v>93.436170000000004</v>
      </c>
      <c r="H1108" s="15">
        <v>44757</v>
      </c>
      <c r="I1108">
        <v>102.4</v>
      </c>
      <c r="J1108">
        <v>25000</v>
      </c>
      <c r="K1108" s="28">
        <v>6.4916999999999998</v>
      </c>
    </row>
    <row r="1109" spans="1:12" ht="15" customHeight="1" x14ac:dyDescent="0.2">
      <c r="A1109" s="28" t="s">
        <v>8</v>
      </c>
      <c r="B1109" t="s">
        <v>30</v>
      </c>
      <c r="C1109" s="30" t="s">
        <v>55</v>
      </c>
      <c r="D1109" s="28">
        <f>YEAR(TableauFlitrage[[#This Row],[Date_d_adjudication]])</f>
        <v>2021</v>
      </c>
      <c r="E1109" s="28">
        <f t="shared" si="18"/>
        <v>7</v>
      </c>
      <c r="F1109" s="15">
        <v>44391</v>
      </c>
      <c r="G1109" s="28">
        <v>91.424599999999998</v>
      </c>
      <c r="H1109" s="15">
        <v>46219</v>
      </c>
      <c r="I1109">
        <v>25.645299999999999</v>
      </c>
      <c r="J1109">
        <v>15000</v>
      </c>
      <c r="K1109" s="28">
        <v>6.5</v>
      </c>
      <c r="L1109">
        <v>8.65</v>
      </c>
    </row>
    <row r="1110" spans="1:12" ht="15" customHeight="1" x14ac:dyDescent="0.2">
      <c r="A1110" s="28" t="s">
        <v>7</v>
      </c>
      <c r="B1110" s="2" t="s">
        <v>29</v>
      </c>
      <c r="C1110" s="30">
        <v>0.25</v>
      </c>
      <c r="D1110" s="28">
        <f>YEAR(TableauFlitrage[[#This Row],[Date_d_adjudication]])</f>
        <v>2021</v>
      </c>
      <c r="E1110" s="28">
        <f t="shared" si="18"/>
        <v>7</v>
      </c>
      <c r="F1110" s="15">
        <v>44398</v>
      </c>
      <c r="G1110" s="28">
        <v>99.511296000000002</v>
      </c>
      <c r="H1110" s="15">
        <v>44491</v>
      </c>
      <c r="I1110">
        <v>125</v>
      </c>
      <c r="J1110">
        <v>20000</v>
      </c>
      <c r="K1110" s="28">
        <v>1.9333</v>
      </c>
    </row>
    <row r="1111" spans="1:12" ht="15" customHeight="1" x14ac:dyDescent="0.2">
      <c r="A1111" s="28" t="s">
        <v>9</v>
      </c>
      <c r="B1111" s="2" t="s">
        <v>29</v>
      </c>
      <c r="C1111" s="30">
        <v>0.5</v>
      </c>
      <c r="D1111" s="28">
        <f>YEAR(TableauFlitrage[[#This Row],[Date_d_adjudication]])</f>
        <v>2021</v>
      </c>
      <c r="E1111" s="28">
        <f t="shared" si="18"/>
        <v>7</v>
      </c>
      <c r="F1111" s="15">
        <v>44398</v>
      </c>
      <c r="G1111" s="28">
        <v>97.588048999999998</v>
      </c>
      <c r="H1111" s="15">
        <v>44582</v>
      </c>
      <c r="I1111">
        <v>150.3571</v>
      </c>
      <c r="J1111">
        <v>14000</v>
      </c>
      <c r="K1111" s="28">
        <v>4.7709000000000001</v>
      </c>
    </row>
    <row r="1112" spans="1:12" ht="15" customHeight="1" x14ac:dyDescent="0.2">
      <c r="A1112" s="28" t="s">
        <v>11</v>
      </c>
      <c r="B1112" s="2" t="s">
        <v>29</v>
      </c>
      <c r="C1112" s="30">
        <v>1</v>
      </c>
      <c r="D1112" s="28">
        <f>YEAR(TableauFlitrage[[#This Row],[Date_d_adjudication]])</f>
        <v>2021</v>
      </c>
      <c r="E1112" s="28">
        <f t="shared" si="18"/>
        <v>7</v>
      </c>
      <c r="F1112" s="15">
        <v>44398</v>
      </c>
      <c r="G1112" s="28">
        <v>93.326667</v>
      </c>
      <c r="H1112" s="15">
        <v>44764</v>
      </c>
      <c r="I1112">
        <v>13</v>
      </c>
      <c r="J1112">
        <v>25000</v>
      </c>
      <c r="K1112" s="28">
        <v>6.6</v>
      </c>
    </row>
    <row r="1113" spans="1:12" ht="15" customHeight="1" x14ac:dyDescent="0.2">
      <c r="A1113" s="28" t="s">
        <v>9</v>
      </c>
      <c r="B1113" t="s">
        <v>30</v>
      </c>
      <c r="C1113" s="30" t="s">
        <v>54</v>
      </c>
      <c r="D1113" s="28">
        <f>YEAR(TableauFlitrage[[#This Row],[Date_d_adjudication]])</f>
        <v>2021</v>
      </c>
      <c r="E1113" s="28">
        <f t="shared" si="18"/>
        <v>7</v>
      </c>
      <c r="F1113" s="15">
        <v>44398</v>
      </c>
      <c r="G1113" s="28">
        <v>91.342200000000005</v>
      </c>
      <c r="H1113" s="15">
        <v>45412</v>
      </c>
      <c r="I1113">
        <v>100</v>
      </c>
      <c r="J1113">
        <v>12500</v>
      </c>
      <c r="K1113" s="28">
        <v>5.25</v>
      </c>
      <c r="L1113">
        <v>8.59</v>
      </c>
    </row>
    <row r="1114" spans="1:12" ht="15" customHeight="1" x14ac:dyDescent="0.2">
      <c r="A1114" s="28" t="s">
        <v>9</v>
      </c>
      <c r="B1114" t="s">
        <v>30</v>
      </c>
      <c r="C1114" s="30" t="s">
        <v>55</v>
      </c>
      <c r="D1114" s="28">
        <f>YEAR(TableauFlitrage[[#This Row],[Date_d_adjudication]])</f>
        <v>2021</v>
      </c>
      <c r="E1114" s="28">
        <f t="shared" si="18"/>
        <v>7</v>
      </c>
      <c r="F1114" s="15">
        <v>44398</v>
      </c>
      <c r="G1114" s="28">
        <v>90.032300000000006</v>
      </c>
      <c r="H1114" s="15">
        <v>46212</v>
      </c>
      <c r="I1114">
        <v>34.8416</v>
      </c>
      <c r="J1114">
        <v>12500</v>
      </c>
      <c r="K1114" s="28">
        <v>6.5</v>
      </c>
      <c r="L1114">
        <v>9.02</v>
      </c>
    </row>
    <row r="1115" spans="1:12" ht="15" customHeight="1" x14ac:dyDescent="0.2">
      <c r="A1115" s="28" t="s">
        <v>7</v>
      </c>
      <c r="B1115" s="2" t="s">
        <v>29</v>
      </c>
      <c r="C1115" s="30">
        <v>1</v>
      </c>
      <c r="D1115" s="28">
        <f>YEAR(TableauFlitrage[[#This Row],[Date_d_adjudication]])</f>
        <v>2021</v>
      </c>
      <c r="E1115" s="28">
        <f t="shared" si="18"/>
        <v>7</v>
      </c>
      <c r="F1115" s="15">
        <v>44405</v>
      </c>
      <c r="G1115" s="28">
        <v>97.081048999999993</v>
      </c>
      <c r="H1115" s="15">
        <v>44771</v>
      </c>
      <c r="I1115">
        <v>187.5</v>
      </c>
      <c r="J1115">
        <v>20000</v>
      </c>
      <c r="K1115" s="28">
        <v>2.8868999999999998</v>
      </c>
    </row>
    <row r="1116" spans="1:12" ht="15" customHeight="1" x14ac:dyDescent="0.2">
      <c r="A1116" s="28" t="s">
        <v>9</v>
      </c>
      <c r="B1116" s="2" t="s">
        <v>29</v>
      </c>
      <c r="C1116" s="30">
        <v>0.25</v>
      </c>
      <c r="D1116" s="28">
        <f>YEAR(TableauFlitrage[[#This Row],[Date_d_adjudication]])</f>
        <v>2021</v>
      </c>
      <c r="E1116" s="28">
        <f t="shared" si="18"/>
        <v>7</v>
      </c>
      <c r="F1116" s="15">
        <v>44405</v>
      </c>
      <c r="G1116" s="28">
        <v>98.891840000000002</v>
      </c>
      <c r="H1116" s="15">
        <v>44498</v>
      </c>
      <c r="I1116">
        <v>107.21429999999999</v>
      </c>
      <c r="J1116">
        <v>14000</v>
      </c>
      <c r="K1116" s="28">
        <v>4.3838999999999997</v>
      </c>
    </row>
    <row r="1117" spans="1:12" ht="15" customHeight="1" x14ac:dyDescent="0.2">
      <c r="A1117" s="28" t="s">
        <v>11</v>
      </c>
      <c r="B1117" s="2" t="s">
        <v>29</v>
      </c>
      <c r="C1117" s="30">
        <v>1</v>
      </c>
      <c r="D1117" s="28">
        <f>YEAR(TableauFlitrage[[#This Row],[Date_d_adjudication]])</f>
        <v>2021</v>
      </c>
      <c r="E1117" s="28">
        <f t="shared" si="18"/>
        <v>7</v>
      </c>
      <c r="F1117" s="15">
        <v>44405</v>
      </c>
      <c r="G1117" s="28">
        <v>93.414156000000006</v>
      </c>
      <c r="H1117" s="15">
        <v>44771</v>
      </c>
      <c r="I1117">
        <v>79.36</v>
      </c>
      <c r="J1117">
        <v>15000</v>
      </c>
      <c r="K1117" s="28">
        <v>6.5134999999999996</v>
      </c>
    </row>
    <row r="1118" spans="1:12" ht="15" customHeight="1" x14ac:dyDescent="0.2">
      <c r="A1118" s="28" t="s">
        <v>10</v>
      </c>
      <c r="B1118" t="s">
        <v>30</v>
      </c>
      <c r="C1118" s="30" t="s">
        <v>56</v>
      </c>
      <c r="D1118" s="28">
        <f>YEAR(TableauFlitrage[[#This Row],[Date_d_adjudication]])</f>
        <v>2021</v>
      </c>
      <c r="E1118" s="28">
        <f t="shared" si="18"/>
        <v>7</v>
      </c>
      <c r="F1118" s="15">
        <v>44405</v>
      </c>
      <c r="G1118" s="28">
        <v>88.707499999999996</v>
      </c>
      <c r="H1118" s="15">
        <v>45868</v>
      </c>
      <c r="I1118">
        <v>100.9</v>
      </c>
      <c r="J1118">
        <v>50000</v>
      </c>
      <c r="K1118" s="28">
        <v>7</v>
      </c>
      <c r="L1118">
        <v>10.53</v>
      </c>
    </row>
    <row r="1119" spans="1:12" ht="15" customHeight="1" x14ac:dyDescent="0.2">
      <c r="A1119" s="28" t="s">
        <v>8</v>
      </c>
      <c r="B1119" t="s">
        <v>30</v>
      </c>
      <c r="C1119" s="30" t="s">
        <v>54</v>
      </c>
      <c r="D1119" s="28">
        <f>YEAR(TableauFlitrage[[#This Row],[Date_d_adjudication]])</f>
        <v>2021</v>
      </c>
      <c r="E1119" s="28">
        <f t="shared" si="18"/>
        <v>7</v>
      </c>
      <c r="F1119" s="15">
        <v>44405</v>
      </c>
      <c r="G1119" s="28">
        <v>92.9739</v>
      </c>
      <c r="H1119" s="15">
        <v>45503</v>
      </c>
      <c r="I1119">
        <v>52.430599999999998</v>
      </c>
      <c r="J1119">
        <v>30000</v>
      </c>
      <c r="K1119" s="28">
        <v>6</v>
      </c>
      <c r="L1119">
        <v>8.7100000000000009</v>
      </c>
    </row>
    <row r="1120" spans="1:12" ht="15" customHeight="1" x14ac:dyDescent="0.2">
      <c r="A1120" s="28" t="s">
        <v>8</v>
      </c>
      <c r="B1120" t="s">
        <v>30</v>
      </c>
      <c r="C1120" s="30" t="s">
        <v>53</v>
      </c>
      <c r="D1120" s="28">
        <f>YEAR(TableauFlitrage[[#This Row],[Date_d_adjudication]])</f>
        <v>2021</v>
      </c>
      <c r="E1120" s="28">
        <f t="shared" si="18"/>
        <v>7</v>
      </c>
      <c r="F1120" s="15">
        <v>44405</v>
      </c>
      <c r="G1120" s="28">
        <v>101.4795</v>
      </c>
      <c r="H1120" s="15">
        <v>44682</v>
      </c>
      <c r="I1120">
        <v>80</v>
      </c>
      <c r="J1120">
        <v>5000</v>
      </c>
      <c r="K1120" s="28">
        <v>6</v>
      </c>
      <c r="L1120">
        <v>4.47</v>
      </c>
    </row>
    <row r="1121" spans="1:12" ht="15" customHeight="1" x14ac:dyDescent="0.2">
      <c r="A1121" s="28" t="s">
        <v>8</v>
      </c>
      <c r="B1121" t="s">
        <v>30</v>
      </c>
      <c r="C1121" s="30" t="s">
        <v>53</v>
      </c>
      <c r="D1121" s="28">
        <f>YEAR(TableauFlitrage[[#This Row],[Date_d_adjudication]])</f>
        <v>2021</v>
      </c>
      <c r="E1121" s="28">
        <f t="shared" si="18"/>
        <v>7</v>
      </c>
      <c r="F1121" s="15">
        <v>44405</v>
      </c>
      <c r="G1121" s="28">
        <v>103.79730000000001</v>
      </c>
      <c r="H1121" s="15">
        <v>44906</v>
      </c>
      <c r="I1121">
        <v>83.333299999999994</v>
      </c>
      <c r="J1121">
        <v>6000</v>
      </c>
      <c r="K1121" s="28">
        <v>6</v>
      </c>
      <c r="L1121">
        <v>2.14</v>
      </c>
    </row>
    <row r="1122" spans="1:12" ht="15" customHeight="1" x14ac:dyDescent="0.2">
      <c r="A1122" s="28" t="s">
        <v>8</v>
      </c>
      <c r="B1122" t="s">
        <v>30</v>
      </c>
      <c r="C1122" s="30" t="s">
        <v>54</v>
      </c>
      <c r="D1122" s="28">
        <f>YEAR(TableauFlitrage[[#This Row],[Date_d_adjudication]])</f>
        <v>2021</v>
      </c>
      <c r="E1122" s="28">
        <f t="shared" si="18"/>
        <v>7</v>
      </c>
      <c r="F1122" s="15">
        <v>44405</v>
      </c>
      <c r="G1122" s="28">
        <v>103.9123</v>
      </c>
      <c r="H1122" s="15">
        <v>45264</v>
      </c>
      <c r="I1122">
        <v>88.939300000000003</v>
      </c>
      <c r="J1122">
        <v>3000</v>
      </c>
      <c r="K1122" s="28">
        <v>6</v>
      </c>
      <c r="L1122">
        <v>3.95</v>
      </c>
    </row>
    <row r="1123" spans="1:12" ht="15" customHeight="1" x14ac:dyDescent="0.2">
      <c r="A1123" s="28" t="s">
        <v>7</v>
      </c>
      <c r="B1123" s="2" t="s">
        <v>29</v>
      </c>
      <c r="C1123" s="30">
        <v>0.25</v>
      </c>
      <c r="D1123" s="28">
        <f>YEAR(TableauFlitrage[[#This Row],[Date_d_adjudication]])</f>
        <v>2021</v>
      </c>
      <c r="E1123" s="28">
        <f t="shared" si="18"/>
        <v>8</v>
      </c>
      <c r="F1123" s="15">
        <v>44412</v>
      </c>
      <c r="G1123" s="28">
        <v>99.468155999999993</v>
      </c>
      <c r="H1123" s="15">
        <v>44505</v>
      </c>
      <c r="I1123">
        <v>176.66669999999999</v>
      </c>
      <c r="J1123">
        <v>15000</v>
      </c>
      <c r="K1123" s="28">
        <v>2.1040000000000001</v>
      </c>
    </row>
    <row r="1124" spans="1:12" ht="15" customHeight="1" x14ac:dyDescent="0.2">
      <c r="A1124" s="28" t="s">
        <v>9</v>
      </c>
      <c r="B1124" s="2" t="s">
        <v>29</v>
      </c>
      <c r="C1124" s="30">
        <v>0.5</v>
      </c>
      <c r="D1124" s="28">
        <f>YEAR(TableauFlitrage[[#This Row],[Date_d_adjudication]])</f>
        <v>2021</v>
      </c>
      <c r="E1124" s="28">
        <f t="shared" si="18"/>
        <v>8</v>
      </c>
      <c r="F1124" s="15">
        <v>44412</v>
      </c>
      <c r="G1124" s="28">
        <v>97.624842999999998</v>
      </c>
      <c r="H1124" s="15">
        <v>44596</v>
      </c>
      <c r="I1124">
        <v>191.0455</v>
      </c>
      <c r="J1124">
        <v>11000</v>
      </c>
      <c r="K1124" s="28">
        <v>4.6981000000000002</v>
      </c>
    </row>
    <row r="1125" spans="1:12" ht="15" customHeight="1" x14ac:dyDescent="0.2">
      <c r="A1125" s="28" t="s">
        <v>11</v>
      </c>
      <c r="B1125" s="2" t="s">
        <v>29</v>
      </c>
      <c r="C1125" s="30">
        <v>1</v>
      </c>
      <c r="D1125" s="28">
        <f>YEAR(TableauFlitrage[[#This Row],[Date_d_adjudication]])</f>
        <v>2021</v>
      </c>
      <c r="E1125" s="28">
        <f t="shared" si="18"/>
        <v>8</v>
      </c>
      <c r="F1125" s="15">
        <v>44412</v>
      </c>
      <c r="G1125" s="28">
        <v>93.327004000000002</v>
      </c>
      <c r="H1125" s="15">
        <v>44778</v>
      </c>
      <c r="I1125">
        <v>100.5476</v>
      </c>
      <c r="J1125">
        <v>18262</v>
      </c>
      <c r="K1125" s="28">
        <v>6.5997000000000003</v>
      </c>
    </row>
    <row r="1126" spans="1:12" ht="15" customHeight="1" x14ac:dyDescent="0.2">
      <c r="A1126" s="28" t="s">
        <v>9</v>
      </c>
      <c r="B1126" t="s">
        <v>30</v>
      </c>
      <c r="C1126" s="30" t="s">
        <v>58</v>
      </c>
      <c r="D1126" s="28">
        <f>YEAR(TableauFlitrage[[#This Row],[Date_d_adjudication]])</f>
        <v>2021</v>
      </c>
      <c r="E1126" s="28">
        <f t="shared" si="18"/>
        <v>8</v>
      </c>
      <c r="F1126" s="15">
        <v>44412</v>
      </c>
      <c r="G1126" s="28">
        <v>89.691400000000002</v>
      </c>
      <c r="H1126" s="15">
        <v>46943</v>
      </c>
      <c r="I1126">
        <v>51.2</v>
      </c>
      <c r="J1126">
        <v>17500</v>
      </c>
      <c r="K1126" s="28">
        <v>7.25</v>
      </c>
      <c r="L1126">
        <v>9.2899999999999991</v>
      </c>
    </row>
    <row r="1127" spans="1:12" ht="15" customHeight="1" x14ac:dyDescent="0.2">
      <c r="A1127" s="28" t="s">
        <v>9</v>
      </c>
      <c r="B1127" t="s">
        <v>30</v>
      </c>
      <c r="C1127" s="30" t="s">
        <v>54</v>
      </c>
      <c r="D1127" s="28">
        <f>YEAR(TableauFlitrage[[#This Row],[Date_d_adjudication]])</f>
        <v>2021</v>
      </c>
      <c r="E1127" s="28">
        <f t="shared" si="18"/>
        <v>8</v>
      </c>
      <c r="F1127" s="15">
        <v>44412</v>
      </c>
      <c r="G1127" s="28">
        <v>90.045699999999997</v>
      </c>
      <c r="H1127" s="15">
        <v>45510</v>
      </c>
      <c r="I1127">
        <v>100</v>
      </c>
      <c r="J1127">
        <v>25000</v>
      </c>
      <c r="K1127" s="28">
        <v>5.25</v>
      </c>
      <c r="L1127">
        <v>9.1199999999999992</v>
      </c>
    </row>
    <row r="1128" spans="1:12" ht="15" customHeight="1" x14ac:dyDescent="0.2">
      <c r="A1128" s="28" t="s">
        <v>7</v>
      </c>
      <c r="B1128" s="2" t="s">
        <v>29</v>
      </c>
      <c r="C1128" s="30">
        <v>0.5</v>
      </c>
      <c r="D1128" s="28">
        <f>YEAR(TableauFlitrage[[#This Row],[Date_d_adjudication]])</f>
        <v>2021</v>
      </c>
      <c r="E1128" s="28">
        <f t="shared" si="18"/>
        <v>8</v>
      </c>
      <c r="F1128" s="15">
        <v>44419</v>
      </c>
      <c r="G1128" s="28">
        <v>98.879351999999997</v>
      </c>
      <c r="H1128" s="15">
        <v>44603</v>
      </c>
      <c r="I1128">
        <v>68</v>
      </c>
      <c r="J1128">
        <v>25000</v>
      </c>
      <c r="K1128" s="28">
        <v>2.2166999999999999</v>
      </c>
    </row>
    <row r="1129" spans="1:12" ht="15" customHeight="1" x14ac:dyDescent="0.2">
      <c r="A1129" s="28" t="s">
        <v>8</v>
      </c>
      <c r="B1129" s="2" t="s">
        <v>29</v>
      </c>
      <c r="C1129" s="30">
        <v>0.25</v>
      </c>
      <c r="D1129" s="28">
        <f>YEAR(TableauFlitrage[[#This Row],[Date_d_adjudication]])</f>
        <v>2021</v>
      </c>
      <c r="E1129" s="28">
        <f t="shared" si="18"/>
        <v>8</v>
      </c>
      <c r="F1129" s="15">
        <v>44419</v>
      </c>
      <c r="G1129" s="28">
        <v>98.497377</v>
      </c>
      <c r="H1129" s="15">
        <v>44512</v>
      </c>
      <c r="I1129">
        <v>88.79</v>
      </c>
      <c r="J1129">
        <v>10000</v>
      </c>
      <c r="K1129" s="28">
        <v>5.9443999999999999</v>
      </c>
    </row>
    <row r="1130" spans="1:12" ht="15" customHeight="1" x14ac:dyDescent="0.2">
      <c r="A1130" s="28" t="s">
        <v>8</v>
      </c>
      <c r="B1130" s="2" t="s">
        <v>29</v>
      </c>
      <c r="C1130" s="30">
        <v>0.5</v>
      </c>
      <c r="D1130" s="28">
        <f>YEAR(TableauFlitrage[[#This Row],[Date_d_adjudication]])</f>
        <v>2021</v>
      </c>
      <c r="E1130" s="28">
        <f t="shared" si="18"/>
        <v>8</v>
      </c>
      <c r="F1130" s="15">
        <v>44419</v>
      </c>
      <c r="G1130" s="28">
        <v>96.776571000000004</v>
      </c>
      <c r="H1130" s="15">
        <v>44603</v>
      </c>
      <c r="I1130">
        <v>93.68</v>
      </c>
      <c r="J1130">
        <v>10000</v>
      </c>
      <c r="K1130" s="28">
        <v>6.3760000000000003</v>
      </c>
    </row>
    <row r="1131" spans="1:12" ht="15" customHeight="1" x14ac:dyDescent="0.2">
      <c r="A1131" s="28" t="s">
        <v>9</v>
      </c>
      <c r="B1131" s="2" t="s">
        <v>29</v>
      </c>
      <c r="C1131" s="30">
        <v>0.5</v>
      </c>
      <c r="D1131" s="28">
        <f>YEAR(TableauFlitrage[[#This Row],[Date_d_adjudication]])</f>
        <v>2021</v>
      </c>
      <c r="E1131" s="28">
        <f t="shared" si="18"/>
        <v>8</v>
      </c>
      <c r="F1131" s="15">
        <v>44419</v>
      </c>
      <c r="G1131" s="28">
        <v>97.291021000000001</v>
      </c>
      <c r="H1131" s="15">
        <v>44603</v>
      </c>
      <c r="I1131">
        <v>114.648</v>
      </c>
      <c r="J1131">
        <v>12500</v>
      </c>
      <c r="K1131" s="28">
        <v>5.3583999999999996</v>
      </c>
    </row>
    <row r="1132" spans="1:12" ht="15" customHeight="1" x14ac:dyDescent="0.2">
      <c r="A1132" s="28" t="s">
        <v>9</v>
      </c>
      <c r="B1132" t="s">
        <v>30</v>
      </c>
      <c r="C1132" s="30" t="s">
        <v>55</v>
      </c>
      <c r="D1132" s="28">
        <f>YEAR(TableauFlitrage[[#This Row],[Date_d_adjudication]])</f>
        <v>2021</v>
      </c>
      <c r="E1132" s="28">
        <f t="shared" ref="E1132:E1191" si="19">MONTH(F1132)</f>
        <v>8</v>
      </c>
      <c r="F1132" s="15">
        <v>44419</v>
      </c>
      <c r="G1132" s="28">
        <v>90.715599999999995</v>
      </c>
      <c r="H1132" s="15">
        <v>46247</v>
      </c>
      <c r="I1132">
        <v>8.19</v>
      </c>
      <c r="J1132">
        <v>15000</v>
      </c>
      <c r="K1132" s="28">
        <v>6.25</v>
      </c>
      <c r="L1132">
        <v>8.57</v>
      </c>
    </row>
    <row r="1133" spans="1:12" ht="15" customHeight="1" x14ac:dyDescent="0.2">
      <c r="A1133" s="28" t="s">
        <v>9</v>
      </c>
      <c r="B1133" t="s">
        <v>30</v>
      </c>
      <c r="C1133" s="30" t="s">
        <v>61</v>
      </c>
      <c r="D1133" s="28">
        <f>YEAR(TableauFlitrage[[#This Row],[Date_d_adjudication]])</f>
        <v>2021</v>
      </c>
      <c r="E1133" s="28">
        <f t="shared" si="19"/>
        <v>8</v>
      </c>
      <c r="F1133" s="15">
        <v>44419</v>
      </c>
      <c r="G1133" s="28">
        <v>89.765799999999999</v>
      </c>
      <c r="H1133" s="15">
        <v>48073</v>
      </c>
      <c r="I1133">
        <v>34.866700000000002</v>
      </c>
      <c r="J1133">
        <v>15000</v>
      </c>
      <c r="K1133" s="28">
        <v>8.25</v>
      </c>
      <c r="L1133">
        <v>9.8800000000000008</v>
      </c>
    </row>
    <row r="1134" spans="1:12" ht="15" customHeight="1" x14ac:dyDescent="0.2">
      <c r="A1134" s="28" t="s">
        <v>11</v>
      </c>
      <c r="B1134" t="s">
        <v>30</v>
      </c>
      <c r="C1134" s="30" t="s">
        <v>53</v>
      </c>
      <c r="D1134" s="28">
        <f>YEAR(TableauFlitrage[[#This Row],[Date_d_adjudication]])</f>
        <v>2021</v>
      </c>
      <c r="E1134" s="28">
        <f t="shared" si="19"/>
        <v>8</v>
      </c>
      <c r="F1134" s="15">
        <v>44419</v>
      </c>
      <c r="G1134" s="28">
        <v>95.861199999999997</v>
      </c>
      <c r="H1134" s="15">
        <v>45151</v>
      </c>
      <c r="I1134">
        <v>69.666700000000006</v>
      </c>
      <c r="J1134">
        <v>15000</v>
      </c>
      <c r="K1134" s="28">
        <v>5.5</v>
      </c>
      <c r="L1134">
        <v>7.77</v>
      </c>
    </row>
    <row r="1135" spans="1:12" ht="15" customHeight="1" x14ac:dyDescent="0.2">
      <c r="A1135" s="28" t="s">
        <v>8</v>
      </c>
      <c r="B1135" s="2" t="s">
        <v>29</v>
      </c>
      <c r="C1135" s="30">
        <v>1</v>
      </c>
      <c r="D1135" s="28">
        <f>YEAR(TableauFlitrage[[#This Row],[Date_d_adjudication]])</f>
        <v>2021</v>
      </c>
      <c r="E1135" s="28">
        <f t="shared" si="19"/>
        <v>8</v>
      </c>
      <c r="F1135" s="15">
        <v>44426</v>
      </c>
      <c r="G1135" s="28">
        <v>93.252643000000006</v>
      </c>
      <c r="H1135" s="15">
        <v>44792</v>
      </c>
      <c r="I1135">
        <v>100</v>
      </c>
      <c r="J1135">
        <v>10000</v>
      </c>
      <c r="K1135" s="28">
        <v>6.6731999999999996</v>
      </c>
    </row>
    <row r="1136" spans="1:12" ht="15" customHeight="1" x14ac:dyDescent="0.2">
      <c r="A1136" s="28" t="s">
        <v>9</v>
      </c>
      <c r="B1136" s="2" t="s">
        <v>29</v>
      </c>
      <c r="C1136" s="30">
        <v>1</v>
      </c>
      <c r="D1136" s="28">
        <f>YEAR(TableauFlitrage[[#This Row],[Date_d_adjudication]])</f>
        <v>2021</v>
      </c>
      <c r="E1136" s="28">
        <f t="shared" si="19"/>
        <v>8</v>
      </c>
      <c r="F1136" s="15">
        <v>44426</v>
      </c>
      <c r="G1136" s="28">
        <v>93.483951000000005</v>
      </c>
      <c r="H1136" s="15">
        <v>44792</v>
      </c>
      <c r="I1136">
        <v>46</v>
      </c>
      <c r="J1136">
        <v>10000</v>
      </c>
      <c r="K1136" s="28">
        <v>6.4443999999999999</v>
      </c>
    </row>
    <row r="1137" spans="1:12" ht="15" customHeight="1" x14ac:dyDescent="0.2">
      <c r="A1137" s="28" t="s">
        <v>11</v>
      </c>
      <c r="B1137" s="2" t="s">
        <v>29</v>
      </c>
      <c r="C1137" s="30">
        <v>1</v>
      </c>
      <c r="D1137" s="28">
        <f>YEAR(TableauFlitrage[[#This Row],[Date_d_adjudication]])</f>
        <v>2021</v>
      </c>
      <c r="E1137" s="28">
        <f t="shared" si="19"/>
        <v>8</v>
      </c>
      <c r="F1137" s="15">
        <v>44426</v>
      </c>
      <c r="G1137" s="28">
        <v>93.673873999999998</v>
      </c>
      <c r="H1137" s="15">
        <v>44792</v>
      </c>
      <c r="I1137">
        <v>75.67</v>
      </c>
      <c r="J1137">
        <v>10000</v>
      </c>
      <c r="K1137" s="28">
        <v>6.2565999999999997</v>
      </c>
    </row>
    <row r="1138" spans="1:12" ht="15" customHeight="1" x14ac:dyDescent="0.2">
      <c r="A1138" s="28" t="s">
        <v>8</v>
      </c>
      <c r="B1138" t="s">
        <v>30</v>
      </c>
      <c r="C1138" s="30" t="s">
        <v>53</v>
      </c>
      <c r="D1138" s="28">
        <f>YEAR(TableauFlitrage[[#This Row],[Date_d_adjudication]])</f>
        <v>2021</v>
      </c>
      <c r="E1138" s="28">
        <f t="shared" si="19"/>
        <v>8</v>
      </c>
      <c r="F1138" s="15">
        <v>44426</v>
      </c>
      <c r="G1138" s="28">
        <v>90.756</v>
      </c>
      <c r="H1138" s="15">
        <v>45158</v>
      </c>
      <c r="I1138">
        <v>100</v>
      </c>
      <c r="J1138">
        <v>12500</v>
      </c>
      <c r="K1138" s="28">
        <v>5.5</v>
      </c>
      <c r="L1138">
        <v>10.76</v>
      </c>
    </row>
    <row r="1139" spans="1:12" ht="15" customHeight="1" x14ac:dyDescent="0.2">
      <c r="A1139" s="28" t="s">
        <v>9</v>
      </c>
      <c r="B1139" t="s">
        <v>30</v>
      </c>
      <c r="C1139" s="30" t="s">
        <v>54</v>
      </c>
      <c r="D1139" s="28">
        <f>YEAR(TableauFlitrage[[#This Row],[Date_d_adjudication]])</f>
        <v>2021</v>
      </c>
      <c r="E1139" s="28">
        <f t="shared" si="19"/>
        <v>8</v>
      </c>
      <c r="F1139" s="15">
        <v>44426</v>
      </c>
      <c r="G1139" s="28">
        <v>90.484200000000001</v>
      </c>
      <c r="H1139" s="15">
        <v>45510</v>
      </c>
      <c r="I1139">
        <v>54.8</v>
      </c>
      <c r="J1139">
        <v>12500</v>
      </c>
      <c r="K1139" s="28">
        <v>5.25</v>
      </c>
      <c r="L1139">
        <v>8.94</v>
      </c>
    </row>
    <row r="1140" spans="1:12" ht="15" customHeight="1" x14ac:dyDescent="0.2">
      <c r="A1140" s="28" t="s">
        <v>14</v>
      </c>
      <c r="B1140" t="s">
        <v>30</v>
      </c>
      <c r="C1140" s="30" t="s">
        <v>53</v>
      </c>
      <c r="D1140" s="28">
        <f>YEAR(TableauFlitrage[[#This Row],[Date_d_adjudication]])</f>
        <v>2021</v>
      </c>
      <c r="E1140" s="28">
        <f t="shared" si="19"/>
        <v>8</v>
      </c>
      <c r="F1140" s="15">
        <v>44426</v>
      </c>
      <c r="G1140" s="28">
        <v>85.019300000000001</v>
      </c>
      <c r="H1140" s="15">
        <v>45158</v>
      </c>
      <c r="I1140">
        <v>51.833300000000001</v>
      </c>
      <c r="J1140">
        <v>15000</v>
      </c>
      <c r="K1140" s="28">
        <v>6.15</v>
      </c>
      <c r="L1140">
        <v>15.11</v>
      </c>
    </row>
    <row r="1141" spans="1:12" ht="15" customHeight="1" x14ac:dyDescent="0.2">
      <c r="A1141" s="28" t="s">
        <v>8</v>
      </c>
      <c r="B1141" s="2" t="s">
        <v>29</v>
      </c>
      <c r="C1141" s="30">
        <v>0.5</v>
      </c>
      <c r="D1141" s="28">
        <f>YEAR(TableauFlitrage[[#This Row],[Date_d_adjudication]])</f>
        <v>2021</v>
      </c>
      <c r="E1141" s="28">
        <f t="shared" si="19"/>
        <v>8</v>
      </c>
      <c r="F1141" s="15">
        <v>44433</v>
      </c>
      <c r="G1141" s="28">
        <v>96.630960000000002</v>
      </c>
      <c r="H1141" s="15">
        <v>44617</v>
      </c>
      <c r="I1141">
        <v>69.650000000000006</v>
      </c>
      <c r="J1141">
        <v>10000</v>
      </c>
      <c r="K1141" s="28">
        <v>6.6639999999999997</v>
      </c>
    </row>
    <row r="1142" spans="1:12" ht="15" customHeight="1" x14ac:dyDescent="0.2">
      <c r="A1142" s="28" t="s">
        <v>9</v>
      </c>
      <c r="B1142" s="2" t="s">
        <v>29</v>
      </c>
      <c r="C1142" s="30">
        <v>0.25</v>
      </c>
      <c r="D1142" s="28">
        <f>YEAR(TableauFlitrage[[#This Row],[Date_d_adjudication]])</f>
        <v>2021</v>
      </c>
      <c r="E1142" s="28">
        <f t="shared" si="19"/>
        <v>8</v>
      </c>
      <c r="F1142" s="15">
        <v>44433</v>
      </c>
      <c r="G1142" s="28">
        <v>98.862525000000005</v>
      </c>
      <c r="H1142" s="15">
        <v>44526</v>
      </c>
      <c r="I1142">
        <v>146.13329999999999</v>
      </c>
      <c r="J1142">
        <v>15000</v>
      </c>
      <c r="K1142" s="28">
        <v>4.4999000000000002</v>
      </c>
    </row>
    <row r="1143" spans="1:12" ht="15" customHeight="1" x14ac:dyDescent="0.2">
      <c r="A1143" s="28" t="s">
        <v>11</v>
      </c>
      <c r="B1143" s="2" t="s">
        <v>29</v>
      </c>
      <c r="C1143" s="30">
        <v>1</v>
      </c>
      <c r="D1143" s="28">
        <f>YEAR(TableauFlitrage[[#This Row],[Date_d_adjudication]])</f>
        <v>2021</v>
      </c>
      <c r="E1143" s="28">
        <f t="shared" si="19"/>
        <v>8</v>
      </c>
      <c r="F1143" s="15">
        <v>44433</v>
      </c>
      <c r="G1143" s="28">
        <v>93.396465000000006</v>
      </c>
      <c r="H1143" s="15">
        <v>44799</v>
      </c>
      <c r="I1143">
        <v>83.71</v>
      </c>
      <c r="J1143">
        <v>20000</v>
      </c>
      <c r="K1143" s="28">
        <v>6.5309999999999997</v>
      </c>
    </row>
    <row r="1144" spans="1:12" ht="15" customHeight="1" x14ac:dyDescent="0.2">
      <c r="A1144" s="28" t="s">
        <v>8</v>
      </c>
      <c r="B1144" t="s">
        <v>30</v>
      </c>
      <c r="C1144" s="30" t="s">
        <v>54</v>
      </c>
      <c r="D1144" s="28">
        <f>YEAR(TableauFlitrage[[#This Row],[Date_d_adjudication]])</f>
        <v>2021</v>
      </c>
      <c r="E1144" s="28">
        <f t="shared" si="19"/>
        <v>8</v>
      </c>
      <c r="F1144" s="15">
        <v>44433</v>
      </c>
      <c r="G1144" s="28">
        <v>90.289599999999993</v>
      </c>
      <c r="H1144" s="15">
        <v>45531</v>
      </c>
      <c r="I1144">
        <v>6.4</v>
      </c>
      <c r="J1144">
        <v>15000</v>
      </c>
      <c r="K1144" s="28">
        <v>6</v>
      </c>
      <c r="L1144">
        <v>9.82</v>
      </c>
    </row>
    <row r="1145" spans="1:12" ht="15" customHeight="1" x14ac:dyDescent="0.2">
      <c r="A1145" s="28" t="s">
        <v>10</v>
      </c>
      <c r="B1145" t="s">
        <v>30</v>
      </c>
      <c r="C1145" s="30" t="s">
        <v>56</v>
      </c>
      <c r="D1145" s="28">
        <f>YEAR(TableauFlitrage[[#This Row],[Date_d_adjudication]])</f>
        <v>2021</v>
      </c>
      <c r="E1145" s="28">
        <f t="shared" si="19"/>
        <v>8</v>
      </c>
      <c r="F1145" s="15">
        <v>44433</v>
      </c>
      <c r="G1145" s="28">
        <v>89.280299999999997</v>
      </c>
      <c r="H1145" s="15">
        <v>45896</v>
      </c>
      <c r="I1145">
        <v>48.461399999999998</v>
      </c>
      <c r="J1145">
        <v>70000</v>
      </c>
      <c r="K1145" s="28">
        <v>7</v>
      </c>
      <c r="L1145">
        <v>10.34</v>
      </c>
    </row>
    <row r="1146" spans="1:12" ht="15" customHeight="1" x14ac:dyDescent="0.2">
      <c r="A1146" s="28" t="s">
        <v>7</v>
      </c>
      <c r="B1146" s="2" t="s">
        <v>29</v>
      </c>
      <c r="C1146" s="30">
        <v>0.5</v>
      </c>
      <c r="D1146" s="28">
        <f>YEAR(TableauFlitrage[[#This Row],[Date_d_adjudication]])</f>
        <v>2021</v>
      </c>
      <c r="E1146" s="28">
        <f t="shared" si="19"/>
        <v>9</v>
      </c>
      <c r="F1146" s="15">
        <v>44440</v>
      </c>
      <c r="G1146" s="28">
        <v>98.786666999999994</v>
      </c>
      <c r="H1146" s="15">
        <v>44624</v>
      </c>
      <c r="I1146">
        <v>83</v>
      </c>
      <c r="J1146">
        <v>20000</v>
      </c>
      <c r="K1146" s="28">
        <v>2.4</v>
      </c>
    </row>
    <row r="1147" spans="1:12" ht="15" customHeight="1" x14ac:dyDescent="0.2">
      <c r="A1147" s="28" t="s">
        <v>19</v>
      </c>
      <c r="B1147" s="2" t="s">
        <v>29</v>
      </c>
      <c r="C1147" s="30">
        <v>0.5</v>
      </c>
      <c r="D1147" s="28">
        <f>YEAR(TableauFlitrage[[#This Row],[Date_d_adjudication]])</f>
        <v>2021</v>
      </c>
      <c r="E1147" s="28">
        <f t="shared" si="19"/>
        <v>9</v>
      </c>
      <c r="F1147" s="15">
        <v>44440</v>
      </c>
      <c r="G1147" s="28">
        <v>97.007743000000005</v>
      </c>
      <c r="H1147" s="15">
        <v>44624</v>
      </c>
      <c r="I1147">
        <v>72.7273</v>
      </c>
      <c r="J1147">
        <v>5500</v>
      </c>
      <c r="K1147" s="28">
        <v>5.9188000000000001</v>
      </c>
    </row>
    <row r="1148" spans="1:12" ht="15" customHeight="1" x14ac:dyDescent="0.2">
      <c r="A1148" s="28" t="s">
        <v>8</v>
      </c>
      <c r="B1148" s="2" t="s">
        <v>29</v>
      </c>
      <c r="C1148" s="30">
        <v>0.5</v>
      </c>
      <c r="D1148" s="28">
        <f>YEAR(TableauFlitrage[[#This Row],[Date_d_adjudication]])</f>
        <v>2021</v>
      </c>
      <c r="E1148" s="28">
        <f t="shared" si="19"/>
        <v>9</v>
      </c>
      <c r="F1148" s="15">
        <v>44440</v>
      </c>
      <c r="G1148" s="28">
        <v>96.901978999999997</v>
      </c>
      <c r="H1148" s="15">
        <v>44617</v>
      </c>
      <c r="I1148">
        <v>169.1429</v>
      </c>
      <c r="J1148">
        <v>7000</v>
      </c>
      <c r="K1148" s="28">
        <v>6.3731</v>
      </c>
    </row>
    <row r="1149" spans="1:12" ht="15" customHeight="1" x14ac:dyDescent="0.2">
      <c r="A1149" s="28" t="s">
        <v>9</v>
      </c>
      <c r="B1149" s="2" t="s">
        <v>29</v>
      </c>
      <c r="C1149" s="30">
        <v>0.5</v>
      </c>
      <c r="D1149" s="28">
        <f>YEAR(TableauFlitrage[[#This Row],[Date_d_adjudication]])</f>
        <v>2021</v>
      </c>
      <c r="E1149" s="28">
        <f t="shared" si="19"/>
        <v>9</v>
      </c>
      <c r="F1149" s="15">
        <v>44440</v>
      </c>
      <c r="G1149" s="28">
        <v>97.163623000000001</v>
      </c>
      <c r="H1149" s="15">
        <v>44624</v>
      </c>
      <c r="I1149">
        <v>102.5</v>
      </c>
      <c r="J1149">
        <v>12000</v>
      </c>
      <c r="K1149" s="28">
        <v>5.6104000000000003</v>
      </c>
    </row>
    <row r="1150" spans="1:12" ht="15" customHeight="1" x14ac:dyDescent="0.2">
      <c r="A1150" s="28" t="s">
        <v>11</v>
      </c>
      <c r="B1150" s="2" t="s">
        <v>29</v>
      </c>
      <c r="C1150" s="30">
        <v>0.5</v>
      </c>
      <c r="D1150" s="28">
        <f>YEAR(TableauFlitrage[[#This Row],[Date_d_adjudication]])</f>
        <v>2021</v>
      </c>
      <c r="E1150" s="28">
        <f t="shared" si="19"/>
        <v>9</v>
      </c>
      <c r="F1150" s="15">
        <v>44440</v>
      </c>
      <c r="G1150" s="28">
        <v>96.713888999999995</v>
      </c>
      <c r="H1150" s="15">
        <v>44624</v>
      </c>
      <c r="I1150">
        <v>42.83</v>
      </c>
      <c r="J1150">
        <v>20000</v>
      </c>
      <c r="K1150" s="28">
        <v>6.5</v>
      </c>
    </row>
    <row r="1151" spans="1:12" ht="15" customHeight="1" x14ac:dyDescent="0.2">
      <c r="A1151" s="28" t="s">
        <v>10</v>
      </c>
      <c r="B1151" t="s">
        <v>30</v>
      </c>
      <c r="C1151" s="30" t="s">
        <v>56</v>
      </c>
      <c r="D1151" s="28">
        <f>YEAR(TableauFlitrage[[#This Row],[Date_d_adjudication]])</f>
        <v>2021</v>
      </c>
      <c r="E1151" s="28">
        <f t="shared" si="19"/>
        <v>9</v>
      </c>
      <c r="F1151" s="15">
        <v>44440</v>
      </c>
      <c r="G1151" s="28">
        <v>86.521600000000007</v>
      </c>
      <c r="H1151" s="15">
        <v>45903</v>
      </c>
      <c r="I1151">
        <v>57.694499999999998</v>
      </c>
      <c r="J1151">
        <v>55000</v>
      </c>
      <c r="K1151" s="28">
        <v>7</v>
      </c>
      <c r="L1151">
        <v>11.28</v>
      </c>
    </row>
    <row r="1152" spans="1:12" ht="15" customHeight="1" x14ac:dyDescent="0.2">
      <c r="A1152" s="28" t="s">
        <v>9</v>
      </c>
      <c r="B1152" s="2" t="s">
        <v>29</v>
      </c>
      <c r="C1152" s="30">
        <v>0.5</v>
      </c>
      <c r="D1152" s="28">
        <f>YEAR(TableauFlitrage[[#This Row],[Date_d_adjudication]])</f>
        <v>2021</v>
      </c>
      <c r="E1152" s="28">
        <f t="shared" si="19"/>
        <v>9</v>
      </c>
      <c r="F1152" s="15">
        <v>44447</v>
      </c>
      <c r="G1152" s="28">
        <v>96.962806999999998</v>
      </c>
      <c r="H1152" s="15">
        <v>44631</v>
      </c>
      <c r="I1152">
        <v>84.583299999999994</v>
      </c>
      <c r="J1152">
        <v>12000</v>
      </c>
      <c r="K1152" s="28">
        <v>6.1958000000000002</v>
      </c>
    </row>
    <row r="1153" spans="1:12" ht="15" customHeight="1" x14ac:dyDescent="0.2">
      <c r="A1153" s="28" t="s">
        <v>11</v>
      </c>
      <c r="B1153" s="2" t="s">
        <v>29</v>
      </c>
      <c r="C1153" s="30">
        <v>1</v>
      </c>
      <c r="D1153" s="28">
        <f>YEAR(TableauFlitrage[[#This Row],[Date_d_adjudication]])</f>
        <v>2021</v>
      </c>
      <c r="E1153" s="28">
        <f t="shared" si="19"/>
        <v>9</v>
      </c>
      <c r="F1153" s="15">
        <v>44447</v>
      </c>
      <c r="G1153" s="28">
        <v>93.246255000000005</v>
      </c>
      <c r="H1153" s="15">
        <v>44813</v>
      </c>
      <c r="I1153">
        <v>85.14</v>
      </c>
      <c r="J1153">
        <v>50000</v>
      </c>
      <c r="K1153" s="28">
        <v>7.1632999999999996</v>
      </c>
    </row>
    <row r="1154" spans="1:12" ht="15" customHeight="1" x14ac:dyDescent="0.2">
      <c r="A1154" s="28" t="s">
        <v>14</v>
      </c>
      <c r="B1154" t="s">
        <v>30</v>
      </c>
      <c r="C1154" s="30" t="s">
        <v>53</v>
      </c>
      <c r="D1154" s="28">
        <f>YEAR(TableauFlitrage[[#This Row],[Date_d_adjudication]])</f>
        <v>2021</v>
      </c>
      <c r="E1154" s="28">
        <f t="shared" si="19"/>
        <v>9</v>
      </c>
      <c r="F1154" s="15">
        <v>44447</v>
      </c>
      <c r="G1154" s="28">
        <v>87.448499999999996</v>
      </c>
      <c r="H1154" s="15">
        <v>45158</v>
      </c>
      <c r="I1154">
        <v>188.33330000000001</v>
      </c>
      <c r="J1154">
        <v>7500</v>
      </c>
      <c r="K1154" s="28">
        <v>6.15</v>
      </c>
      <c r="L1154">
        <v>13.52</v>
      </c>
    </row>
    <row r="1155" spans="1:12" ht="15" customHeight="1" x14ac:dyDescent="0.2">
      <c r="A1155" s="28" t="s">
        <v>8</v>
      </c>
      <c r="B1155" t="s">
        <v>30</v>
      </c>
      <c r="C1155" s="30" t="s">
        <v>54</v>
      </c>
      <c r="D1155" s="28">
        <f>YEAR(TableauFlitrage[[#This Row],[Date_d_adjudication]])</f>
        <v>2021</v>
      </c>
      <c r="E1155" s="28">
        <f t="shared" si="19"/>
        <v>9</v>
      </c>
      <c r="F1155" s="15">
        <v>44447</v>
      </c>
      <c r="G1155" s="28">
        <v>93.286500000000004</v>
      </c>
      <c r="H1155" s="15">
        <v>45531</v>
      </c>
      <c r="I1155">
        <v>94.857699999999994</v>
      </c>
      <c r="J1155">
        <v>25000</v>
      </c>
      <c r="K1155" s="28">
        <v>6</v>
      </c>
      <c r="L1155">
        <v>8.59</v>
      </c>
    </row>
    <row r="1156" spans="1:12" ht="15" customHeight="1" x14ac:dyDescent="0.2">
      <c r="A1156" s="28" t="s">
        <v>8</v>
      </c>
      <c r="B1156" t="s">
        <v>30</v>
      </c>
      <c r="C1156" s="30" t="s">
        <v>53</v>
      </c>
      <c r="D1156" s="28">
        <f>YEAR(TableauFlitrage[[#This Row],[Date_d_adjudication]])</f>
        <v>2021</v>
      </c>
      <c r="E1156" s="28">
        <f t="shared" si="19"/>
        <v>9</v>
      </c>
      <c r="F1156" s="15">
        <v>44447</v>
      </c>
      <c r="G1156" s="28">
        <v>91.212500000000006</v>
      </c>
      <c r="H1156" s="15">
        <v>45179</v>
      </c>
      <c r="I1156">
        <v>95.2</v>
      </c>
      <c r="J1156">
        <v>20000</v>
      </c>
      <c r="K1156" s="28">
        <v>5.5</v>
      </c>
      <c r="L1156">
        <v>10.48</v>
      </c>
    </row>
    <row r="1157" spans="1:12" ht="15" customHeight="1" x14ac:dyDescent="0.2">
      <c r="A1157" s="28" t="s">
        <v>9</v>
      </c>
      <c r="B1157" t="s">
        <v>30</v>
      </c>
      <c r="C1157" s="30" t="s">
        <v>55</v>
      </c>
      <c r="D1157" s="28">
        <f>YEAR(TableauFlitrage[[#This Row],[Date_d_adjudication]])</f>
        <v>2021</v>
      </c>
      <c r="E1157" s="28">
        <f t="shared" si="19"/>
        <v>9</v>
      </c>
      <c r="F1157" s="15">
        <v>44447</v>
      </c>
      <c r="G1157" s="28">
        <v>89.899500000000003</v>
      </c>
      <c r="H1157" s="15">
        <v>46247</v>
      </c>
      <c r="I1157">
        <v>86.110699999999994</v>
      </c>
      <c r="J1157">
        <v>10000</v>
      </c>
      <c r="K1157" s="28">
        <v>6.25</v>
      </c>
      <c r="L1157">
        <v>8.7899999999999991</v>
      </c>
    </row>
    <row r="1158" spans="1:12" ht="15" customHeight="1" x14ac:dyDescent="0.2">
      <c r="A1158" s="28" t="s">
        <v>9</v>
      </c>
      <c r="B1158" t="s">
        <v>30</v>
      </c>
      <c r="C1158" s="30" t="s">
        <v>61</v>
      </c>
      <c r="D1158" s="28">
        <f>YEAR(TableauFlitrage[[#This Row],[Date_d_adjudication]])</f>
        <v>2021</v>
      </c>
      <c r="E1158" s="28">
        <f t="shared" si="19"/>
        <v>9</v>
      </c>
      <c r="F1158" s="15">
        <v>44447</v>
      </c>
      <c r="G1158" s="28">
        <v>88.246099999999998</v>
      </c>
      <c r="H1158" s="15">
        <v>48073</v>
      </c>
      <c r="I1158">
        <v>54.866700000000002</v>
      </c>
      <c r="J1158">
        <v>7500</v>
      </c>
      <c r="K1158" s="28">
        <v>8.25</v>
      </c>
      <c r="L1158">
        <v>10.15</v>
      </c>
    </row>
    <row r="1159" spans="1:12" ht="15" customHeight="1" x14ac:dyDescent="0.2">
      <c r="A1159" s="28" t="s">
        <v>9</v>
      </c>
      <c r="B1159" t="s">
        <v>30</v>
      </c>
      <c r="C1159" s="30" t="s">
        <v>54</v>
      </c>
      <c r="D1159" s="28">
        <f>YEAR(TableauFlitrage[[#This Row],[Date_d_adjudication]])</f>
        <v>2021</v>
      </c>
      <c r="E1159" s="28">
        <f t="shared" si="19"/>
        <v>9</v>
      </c>
      <c r="F1159" s="15">
        <v>44447</v>
      </c>
      <c r="G1159" s="28">
        <v>95.634500000000003</v>
      </c>
      <c r="H1159" s="15">
        <v>45545</v>
      </c>
      <c r="I1159">
        <v>159.5</v>
      </c>
      <c r="J1159">
        <v>20000</v>
      </c>
      <c r="K1159" s="28">
        <v>5.25</v>
      </c>
      <c r="L1159">
        <v>6.89</v>
      </c>
    </row>
    <row r="1160" spans="1:12" ht="15" customHeight="1" x14ac:dyDescent="0.2">
      <c r="A1160" s="28" t="s">
        <v>8</v>
      </c>
      <c r="B1160" s="2" t="s">
        <v>29</v>
      </c>
      <c r="C1160" s="30">
        <v>1</v>
      </c>
      <c r="D1160" s="28">
        <f>YEAR(TableauFlitrage[[#This Row],[Date_d_adjudication]])</f>
        <v>2021</v>
      </c>
      <c r="E1160" s="28">
        <f t="shared" si="19"/>
        <v>9</v>
      </c>
      <c r="F1160" s="15">
        <v>44454</v>
      </c>
      <c r="G1160" s="28">
        <v>92.987733000000006</v>
      </c>
      <c r="H1160" s="15">
        <v>44820</v>
      </c>
      <c r="I1160">
        <v>94.16</v>
      </c>
      <c r="J1160">
        <v>15000</v>
      </c>
      <c r="K1160" s="28">
        <v>6.9352</v>
      </c>
    </row>
    <row r="1161" spans="1:12" ht="15" customHeight="1" x14ac:dyDescent="0.2">
      <c r="A1161" s="28" t="s">
        <v>8</v>
      </c>
      <c r="B1161" s="2" t="s">
        <v>29</v>
      </c>
      <c r="C1161" s="30">
        <v>0.25</v>
      </c>
      <c r="D1161" s="28">
        <f>YEAR(TableauFlitrage[[#This Row],[Date_d_adjudication]])</f>
        <v>2021</v>
      </c>
      <c r="E1161" s="28">
        <f t="shared" si="19"/>
        <v>9</v>
      </c>
      <c r="F1161" s="15">
        <v>44454</v>
      </c>
      <c r="G1161" s="28">
        <v>98.437447000000006</v>
      </c>
      <c r="H1161" s="15">
        <v>44547</v>
      </c>
      <c r="I1161">
        <v>85.636399999999995</v>
      </c>
      <c r="J1161">
        <v>11000</v>
      </c>
      <c r="K1161" s="28">
        <v>6.1814999999999998</v>
      </c>
    </row>
    <row r="1162" spans="1:12" ht="15" customHeight="1" x14ac:dyDescent="0.2">
      <c r="A1162" s="28" t="s">
        <v>9</v>
      </c>
      <c r="B1162" s="2" t="s">
        <v>29</v>
      </c>
      <c r="C1162" s="30">
        <v>0.5</v>
      </c>
      <c r="D1162" s="28">
        <f>YEAR(TableauFlitrage[[#This Row],[Date_d_adjudication]])</f>
        <v>2021</v>
      </c>
      <c r="E1162" s="28">
        <f t="shared" si="19"/>
        <v>9</v>
      </c>
      <c r="F1162" s="15">
        <v>44454</v>
      </c>
      <c r="G1162" s="28">
        <v>96.832988</v>
      </c>
      <c r="H1162" s="15">
        <v>44638</v>
      </c>
      <c r="I1162">
        <v>74.375</v>
      </c>
      <c r="J1162">
        <v>12000</v>
      </c>
      <c r="K1162" s="28">
        <v>6.2644000000000002</v>
      </c>
    </row>
    <row r="1163" spans="1:12" ht="15" customHeight="1" x14ac:dyDescent="0.2">
      <c r="A1163" s="28" t="s">
        <v>11</v>
      </c>
      <c r="B1163" s="2" t="s">
        <v>29</v>
      </c>
      <c r="C1163" s="30">
        <v>0.5</v>
      </c>
      <c r="D1163" s="28">
        <f>YEAR(TableauFlitrage[[#This Row],[Date_d_adjudication]])</f>
        <v>2021</v>
      </c>
      <c r="E1163" s="28">
        <f t="shared" si="19"/>
        <v>9</v>
      </c>
      <c r="F1163" s="15">
        <v>44454</v>
      </c>
      <c r="G1163" s="28">
        <v>96.689442</v>
      </c>
      <c r="H1163" s="15">
        <v>44638</v>
      </c>
      <c r="I1163">
        <v>92.644000000000005</v>
      </c>
      <c r="J1163">
        <v>25000</v>
      </c>
      <c r="K1163" s="28">
        <v>6.5484</v>
      </c>
    </row>
    <row r="1164" spans="1:12" ht="15" customHeight="1" x14ac:dyDescent="0.2">
      <c r="A1164" s="28" t="s">
        <v>7</v>
      </c>
      <c r="B1164" s="2" t="s">
        <v>29</v>
      </c>
      <c r="C1164" s="30">
        <v>0.5</v>
      </c>
      <c r="D1164" s="28">
        <f>YEAR(TableauFlitrage[[#This Row],[Date_d_adjudication]])</f>
        <v>2021</v>
      </c>
      <c r="E1164" s="28">
        <f t="shared" si="19"/>
        <v>9</v>
      </c>
      <c r="F1164" s="15">
        <v>44461</v>
      </c>
      <c r="G1164" s="28">
        <v>98.882902999999999</v>
      </c>
      <c r="H1164" s="15">
        <v>44645</v>
      </c>
      <c r="I1164">
        <v>76</v>
      </c>
      <c r="J1164">
        <v>25000</v>
      </c>
      <c r="K1164" s="28">
        <v>2.2096</v>
      </c>
    </row>
    <row r="1165" spans="1:12" ht="15" customHeight="1" x14ac:dyDescent="0.2">
      <c r="A1165" s="28" t="s">
        <v>8</v>
      </c>
      <c r="B1165" s="2" t="s">
        <v>29</v>
      </c>
      <c r="C1165" s="30">
        <v>0.5</v>
      </c>
      <c r="D1165" s="28">
        <f>YEAR(TableauFlitrage[[#This Row],[Date_d_adjudication]])</f>
        <v>2021</v>
      </c>
      <c r="E1165" s="28">
        <f t="shared" si="19"/>
        <v>9</v>
      </c>
      <c r="F1165" s="15">
        <v>44461</v>
      </c>
      <c r="G1165" s="28">
        <v>96.906385</v>
      </c>
      <c r="H1165" s="15">
        <v>44645</v>
      </c>
      <c r="I1165">
        <v>111.4333</v>
      </c>
      <c r="J1165">
        <v>12000</v>
      </c>
      <c r="K1165" s="28">
        <v>6.1192000000000002</v>
      </c>
    </row>
    <row r="1166" spans="1:12" ht="15" customHeight="1" x14ac:dyDescent="0.2">
      <c r="A1166" s="28" t="s">
        <v>9</v>
      </c>
      <c r="B1166" s="2" t="s">
        <v>29</v>
      </c>
      <c r="C1166" s="30">
        <v>0.25</v>
      </c>
      <c r="D1166" s="28">
        <f>YEAR(TableauFlitrage[[#This Row],[Date_d_adjudication]])</f>
        <v>2021</v>
      </c>
      <c r="E1166" s="28">
        <f t="shared" si="19"/>
        <v>9</v>
      </c>
      <c r="F1166" s="15">
        <v>44461</v>
      </c>
      <c r="G1166" s="28">
        <v>98.697214000000002</v>
      </c>
      <c r="H1166" s="15">
        <v>44554</v>
      </c>
      <c r="I1166">
        <v>70.033299999999997</v>
      </c>
      <c r="J1166">
        <v>15000</v>
      </c>
      <c r="K1166" s="28">
        <v>5.1539000000000001</v>
      </c>
    </row>
    <row r="1167" spans="1:12" ht="15" customHeight="1" x14ac:dyDescent="0.2">
      <c r="A1167" s="28" t="s">
        <v>10</v>
      </c>
      <c r="B1167" s="2" t="s">
        <v>29</v>
      </c>
      <c r="C1167" s="30">
        <v>1</v>
      </c>
      <c r="D1167" s="28">
        <f>YEAR(TableauFlitrage[[#This Row],[Date_d_adjudication]])</f>
        <v>2021</v>
      </c>
      <c r="E1167" s="28">
        <f t="shared" si="19"/>
        <v>9</v>
      </c>
      <c r="F1167" s="15">
        <v>44461</v>
      </c>
      <c r="G1167" s="28">
        <v>91.861519999999999</v>
      </c>
      <c r="H1167" s="15">
        <v>44827</v>
      </c>
      <c r="I1167">
        <v>55.956000000000003</v>
      </c>
      <c r="J1167">
        <v>25000</v>
      </c>
      <c r="K1167" s="28">
        <v>8.0489999999999995</v>
      </c>
    </row>
    <row r="1168" spans="1:12" ht="15" customHeight="1" x14ac:dyDescent="0.2">
      <c r="A1168" s="28" t="s">
        <v>8</v>
      </c>
      <c r="B1168" t="s">
        <v>30</v>
      </c>
      <c r="C1168" s="30" t="s">
        <v>53</v>
      </c>
      <c r="D1168" s="28">
        <f>YEAR(TableauFlitrage[[#This Row],[Date_d_adjudication]])</f>
        <v>2021</v>
      </c>
      <c r="E1168" s="28">
        <f t="shared" si="19"/>
        <v>9</v>
      </c>
      <c r="F1168" s="15">
        <v>44461</v>
      </c>
      <c r="G1168" s="28">
        <v>105.1781</v>
      </c>
      <c r="H1168" s="15">
        <v>44878</v>
      </c>
      <c r="I1168">
        <v>60.914000000000001</v>
      </c>
      <c r="J1168">
        <v>4924</v>
      </c>
      <c r="K1168" s="28">
        <v>6</v>
      </c>
      <c r="L1168">
        <v>0.79</v>
      </c>
    </row>
    <row r="1169" spans="1:12" ht="15" customHeight="1" x14ac:dyDescent="0.2">
      <c r="A1169" s="28" t="s">
        <v>8</v>
      </c>
      <c r="B1169" t="s">
        <v>30</v>
      </c>
      <c r="C1169" s="30" t="s">
        <v>53</v>
      </c>
      <c r="D1169" s="28">
        <f>YEAR(TableauFlitrage[[#This Row],[Date_d_adjudication]])</f>
        <v>2021</v>
      </c>
      <c r="E1169" s="28">
        <f t="shared" si="19"/>
        <v>9</v>
      </c>
      <c r="F1169" s="15">
        <v>44461</v>
      </c>
      <c r="G1169" s="28">
        <v>103.9699</v>
      </c>
      <c r="H1169" s="15">
        <v>44941</v>
      </c>
      <c r="I1169">
        <v>100</v>
      </c>
      <c r="J1169">
        <v>1335.08</v>
      </c>
      <c r="K1169" s="28">
        <v>5.75</v>
      </c>
      <c r="L1169">
        <v>1.73</v>
      </c>
    </row>
    <row r="1170" spans="1:12" ht="15" customHeight="1" x14ac:dyDescent="0.2">
      <c r="A1170" s="28" t="s">
        <v>8</v>
      </c>
      <c r="B1170" t="s">
        <v>30</v>
      </c>
      <c r="C1170" s="30" t="s">
        <v>53</v>
      </c>
      <c r="D1170" s="28">
        <f>YEAR(TableauFlitrage[[#This Row],[Date_d_adjudication]])</f>
        <v>2021</v>
      </c>
      <c r="E1170" s="28">
        <f t="shared" si="19"/>
        <v>9</v>
      </c>
      <c r="F1170" s="15">
        <v>44461</v>
      </c>
      <c r="G1170" s="28">
        <v>103.9123</v>
      </c>
      <c r="H1170" s="15">
        <v>44955</v>
      </c>
      <c r="I1170">
        <v>100</v>
      </c>
      <c r="J1170">
        <v>3664.92</v>
      </c>
      <c r="K1170" s="28">
        <v>6</v>
      </c>
      <c r="L1170">
        <v>2.0299999999999998</v>
      </c>
    </row>
    <row r="1171" spans="1:12" ht="15" customHeight="1" x14ac:dyDescent="0.2">
      <c r="A1171" s="28" t="s">
        <v>8</v>
      </c>
      <c r="B1171" t="s">
        <v>30</v>
      </c>
      <c r="C1171" s="30" t="s">
        <v>54</v>
      </c>
      <c r="D1171" s="28">
        <f>YEAR(TableauFlitrage[[#This Row],[Date_d_adjudication]])</f>
        <v>2021</v>
      </c>
      <c r="E1171" s="28">
        <f t="shared" si="19"/>
        <v>9</v>
      </c>
      <c r="F1171" s="15">
        <v>44461</v>
      </c>
      <c r="G1171" s="28">
        <v>91.905699999999996</v>
      </c>
      <c r="H1171" s="15">
        <v>45559</v>
      </c>
      <c r="I1171">
        <v>56.744</v>
      </c>
      <c r="J1171">
        <v>25000</v>
      </c>
      <c r="K1171" s="28">
        <v>6</v>
      </c>
      <c r="L1171">
        <v>9.15</v>
      </c>
    </row>
    <row r="1172" spans="1:12" ht="15" customHeight="1" x14ac:dyDescent="0.2">
      <c r="A1172" s="28" t="s">
        <v>9</v>
      </c>
      <c r="B1172" t="s">
        <v>30</v>
      </c>
      <c r="C1172" s="30" t="s">
        <v>54</v>
      </c>
      <c r="D1172" s="28">
        <f>YEAR(TableauFlitrage[[#This Row],[Date_d_adjudication]])</f>
        <v>2021</v>
      </c>
      <c r="E1172" s="28">
        <f t="shared" si="19"/>
        <v>9</v>
      </c>
      <c r="F1172" s="15">
        <v>44461</v>
      </c>
      <c r="G1172" s="28">
        <v>92.589399999999998</v>
      </c>
      <c r="H1172" s="15">
        <v>45545</v>
      </c>
      <c r="I1172">
        <v>113.3</v>
      </c>
      <c r="J1172">
        <v>10000</v>
      </c>
      <c r="K1172" s="28">
        <v>5.25</v>
      </c>
      <c r="L1172">
        <v>8.08</v>
      </c>
    </row>
    <row r="1173" spans="1:12" ht="15" customHeight="1" x14ac:dyDescent="0.2">
      <c r="A1173" s="28" t="s">
        <v>9</v>
      </c>
      <c r="B1173" t="s">
        <v>30</v>
      </c>
      <c r="C1173" s="30" t="s">
        <v>58</v>
      </c>
      <c r="D1173" s="28">
        <f>YEAR(TableauFlitrage[[#This Row],[Date_d_adjudication]])</f>
        <v>2021</v>
      </c>
      <c r="E1173" s="28">
        <f t="shared" si="19"/>
        <v>9</v>
      </c>
      <c r="F1173" s="15">
        <v>44461</v>
      </c>
      <c r="G1173" s="28">
        <v>95.791499999999999</v>
      </c>
      <c r="H1173" s="15">
        <v>46943</v>
      </c>
      <c r="I1173">
        <v>18.866700000000002</v>
      </c>
      <c r="J1173">
        <v>7500</v>
      </c>
      <c r="K1173" s="28">
        <v>7.25</v>
      </c>
      <c r="L1173">
        <v>8.0500000000000007</v>
      </c>
    </row>
    <row r="1174" spans="1:12" ht="15" customHeight="1" x14ac:dyDescent="0.2">
      <c r="A1174" s="28" t="s">
        <v>9</v>
      </c>
      <c r="B1174" t="s">
        <v>30</v>
      </c>
      <c r="C1174" s="30" t="s">
        <v>53</v>
      </c>
      <c r="D1174" s="28">
        <f>YEAR(TableauFlitrage[[#This Row],[Date_d_adjudication]])</f>
        <v>2021</v>
      </c>
      <c r="E1174" s="28">
        <f t="shared" si="19"/>
        <v>9</v>
      </c>
      <c r="F1174" s="15">
        <v>44461</v>
      </c>
      <c r="G1174" s="28">
        <v>95.676000000000002</v>
      </c>
      <c r="H1174" s="15">
        <v>45193</v>
      </c>
      <c r="I1174">
        <v>220.26</v>
      </c>
      <c r="J1174">
        <v>25000</v>
      </c>
      <c r="K1174" s="28">
        <v>4.75</v>
      </c>
      <c r="L1174">
        <v>7.11</v>
      </c>
    </row>
    <row r="1175" spans="1:12" ht="15" customHeight="1" x14ac:dyDescent="0.2">
      <c r="A1175" s="28" t="s">
        <v>7</v>
      </c>
      <c r="B1175" s="2" t="s">
        <v>29</v>
      </c>
      <c r="C1175" s="30">
        <v>0.5</v>
      </c>
      <c r="D1175" s="28">
        <f>YEAR(TableauFlitrage[[#This Row],[Date_d_adjudication]])</f>
        <v>2021</v>
      </c>
      <c r="E1175" s="28">
        <f t="shared" si="19"/>
        <v>9</v>
      </c>
      <c r="F1175" s="15">
        <v>44468</v>
      </c>
      <c r="G1175" s="28">
        <v>98.790458000000001</v>
      </c>
      <c r="H1175" s="15">
        <v>44652</v>
      </c>
      <c r="I1175">
        <v>132</v>
      </c>
      <c r="J1175">
        <v>20000</v>
      </c>
      <c r="K1175" s="28">
        <v>2.3925000000000001</v>
      </c>
    </row>
    <row r="1176" spans="1:12" ht="15" customHeight="1" x14ac:dyDescent="0.2">
      <c r="A1176" s="28" t="s">
        <v>8</v>
      </c>
      <c r="B1176" s="2" t="s">
        <v>29</v>
      </c>
      <c r="C1176" s="30">
        <v>1</v>
      </c>
      <c r="D1176" s="28">
        <f>YEAR(TableauFlitrage[[#This Row],[Date_d_adjudication]])</f>
        <v>2021</v>
      </c>
      <c r="E1176" s="28">
        <f t="shared" si="19"/>
        <v>9</v>
      </c>
      <c r="F1176" s="15">
        <v>44468</v>
      </c>
      <c r="G1176" s="28">
        <v>92.909700000000001</v>
      </c>
      <c r="H1176" s="15">
        <v>44834</v>
      </c>
      <c r="I1176">
        <v>29.24</v>
      </c>
      <c r="J1176">
        <v>10000</v>
      </c>
      <c r="K1176" s="28">
        <v>7.0124000000000004</v>
      </c>
    </row>
    <row r="1177" spans="1:12" ht="15" customHeight="1" x14ac:dyDescent="0.2">
      <c r="A1177" s="28" t="s">
        <v>9</v>
      </c>
      <c r="B1177" s="2" t="s">
        <v>29</v>
      </c>
      <c r="C1177" s="30">
        <v>0.25</v>
      </c>
      <c r="D1177" s="28">
        <f>YEAR(TableauFlitrage[[#This Row],[Date_d_adjudication]])</f>
        <v>2021</v>
      </c>
      <c r="E1177" s="28">
        <f t="shared" si="19"/>
        <v>9</v>
      </c>
      <c r="F1177" s="15">
        <v>44468</v>
      </c>
      <c r="G1177" s="28">
        <v>98.575126999999995</v>
      </c>
      <c r="H1177" s="15">
        <v>44554</v>
      </c>
      <c r="I1177">
        <v>67.25</v>
      </c>
      <c r="J1177">
        <v>8000</v>
      </c>
      <c r="K1177" s="28">
        <v>6.1066000000000003</v>
      </c>
    </row>
    <row r="1178" spans="1:12" ht="15" customHeight="1" x14ac:dyDescent="0.2">
      <c r="A1178" s="28" t="s">
        <v>11</v>
      </c>
      <c r="B1178" s="2" t="s">
        <v>29</v>
      </c>
      <c r="C1178" s="30">
        <v>0.5</v>
      </c>
      <c r="D1178" s="28">
        <f>YEAR(TableauFlitrage[[#This Row],[Date_d_adjudication]])</f>
        <v>2021</v>
      </c>
      <c r="E1178" s="28">
        <f t="shared" si="19"/>
        <v>9</v>
      </c>
      <c r="F1178" s="15">
        <v>44468</v>
      </c>
      <c r="G1178" s="28">
        <v>96.310049000000006</v>
      </c>
      <c r="H1178" s="15">
        <v>44652</v>
      </c>
      <c r="I1178">
        <v>25.1</v>
      </c>
      <c r="J1178">
        <v>10000</v>
      </c>
      <c r="K1178" s="28">
        <v>7.2988</v>
      </c>
    </row>
    <row r="1179" spans="1:12" ht="15" customHeight="1" x14ac:dyDescent="0.2">
      <c r="A1179" s="28" t="s">
        <v>7</v>
      </c>
      <c r="B1179" t="s">
        <v>30</v>
      </c>
      <c r="C1179" s="30" t="s">
        <v>55</v>
      </c>
      <c r="D1179" s="28">
        <f>YEAR(TableauFlitrage[[#This Row],[Date_d_adjudication]])</f>
        <v>2021</v>
      </c>
      <c r="E1179" s="28">
        <f t="shared" si="19"/>
        <v>9</v>
      </c>
      <c r="F1179" s="15">
        <v>44468</v>
      </c>
      <c r="G1179" s="28">
        <v>98.612099999999998</v>
      </c>
      <c r="H1179" s="15">
        <v>46296</v>
      </c>
      <c r="I1179">
        <v>103.26779999999999</v>
      </c>
      <c r="J1179">
        <v>60000</v>
      </c>
      <c r="K1179" s="28">
        <v>5.5</v>
      </c>
      <c r="L1179">
        <v>5.82</v>
      </c>
    </row>
    <row r="1180" spans="1:12" ht="15" customHeight="1" x14ac:dyDescent="0.2">
      <c r="A1180" s="28" t="s">
        <v>8</v>
      </c>
      <c r="B1180" t="s">
        <v>30</v>
      </c>
      <c r="C1180" s="30" t="s">
        <v>53</v>
      </c>
      <c r="D1180" s="28">
        <f>YEAR(TableauFlitrage[[#This Row],[Date_d_adjudication]])</f>
        <v>2021</v>
      </c>
      <c r="E1180" s="28">
        <f t="shared" si="19"/>
        <v>9</v>
      </c>
      <c r="F1180" s="15">
        <v>44468</v>
      </c>
      <c r="G1180" s="28">
        <v>105.2932</v>
      </c>
      <c r="H1180" s="15">
        <v>44878</v>
      </c>
      <c r="I1180">
        <v>100</v>
      </c>
      <c r="J1180">
        <v>1924.92</v>
      </c>
      <c r="K1180" s="28">
        <v>6</v>
      </c>
      <c r="L1180">
        <v>0.68</v>
      </c>
    </row>
    <row r="1181" spans="1:12" ht="15" customHeight="1" x14ac:dyDescent="0.2">
      <c r="A1181" s="28" t="s">
        <v>8</v>
      </c>
      <c r="B1181" t="s">
        <v>30</v>
      </c>
      <c r="C1181" s="30" t="s">
        <v>53</v>
      </c>
      <c r="D1181" s="28">
        <f>YEAR(TableauFlitrage[[#This Row],[Date_d_adjudication]])</f>
        <v>2021</v>
      </c>
      <c r="E1181" s="28">
        <f t="shared" si="19"/>
        <v>9</v>
      </c>
      <c r="F1181" s="15">
        <v>44468</v>
      </c>
      <c r="G1181" s="28">
        <v>90.044300000000007</v>
      </c>
      <c r="H1181" s="15">
        <v>45200</v>
      </c>
      <c r="I1181">
        <v>54.308999999999997</v>
      </c>
      <c r="J1181">
        <v>15000</v>
      </c>
      <c r="K1181" s="28">
        <v>5.5</v>
      </c>
      <c r="L1181">
        <v>11.19</v>
      </c>
    </row>
    <row r="1182" spans="1:12" ht="15" customHeight="1" x14ac:dyDescent="0.2">
      <c r="A1182" s="28" t="s">
        <v>9</v>
      </c>
      <c r="B1182" t="s">
        <v>30</v>
      </c>
      <c r="C1182" s="30" t="s">
        <v>53</v>
      </c>
      <c r="D1182" s="28">
        <f>YEAR(TableauFlitrage[[#This Row],[Date_d_adjudication]])</f>
        <v>2021</v>
      </c>
      <c r="E1182" s="28">
        <f t="shared" si="19"/>
        <v>9</v>
      </c>
      <c r="F1182" s="15">
        <v>44468</v>
      </c>
      <c r="G1182" s="28">
        <v>93.737499999999997</v>
      </c>
      <c r="H1182" s="15">
        <v>45200</v>
      </c>
      <c r="I1182">
        <v>150.05000000000001</v>
      </c>
      <c r="J1182">
        <v>20000</v>
      </c>
      <c r="K1182" s="28">
        <v>4.75</v>
      </c>
      <c r="L1182">
        <v>8.2100000000000009</v>
      </c>
    </row>
    <row r="1183" spans="1:12" ht="15" customHeight="1" x14ac:dyDescent="0.2">
      <c r="A1183" s="28" t="s">
        <v>9</v>
      </c>
      <c r="B1183" t="s">
        <v>30</v>
      </c>
      <c r="C1183" s="30" t="s">
        <v>54</v>
      </c>
      <c r="D1183" s="28">
        <f>YEAR(TableauFlitrage[[#This Row],[Date_d_adjudication]])</f>
        <v>2021</v>
      </c>
      <c r="E1183" s="28">
        <f t="shared" si="19"/>
        <v>9</v>
      </c>
      <c r="F1183" s="15">
        <v>44468</v>
      </c>
      <c r="G1183" s="28">
        <v>89.130399999999995</v>
      </c>
      <c r="H1183" s="15">
        <v>45566</v>
      </c>
      <c r="I1183">
        <v>57.5</v>
      </c>
      <c r="J1183">
        <v>20000</v>
      </c>
      <c r="K1183" s="28">
        <v>5.25</v>
      </c>
      <c r="L1183">
        <v>9.5</v>
      </c>
    </row>
    <row r="1184" spans="1:12" ht="15" customHeight="1" x14ac:dyDescent="0.2">
      <c r="A1184" s="28" t="s">
        <v>8</v>
      </c>
      <c r="B1184" s="2" t="s">
        <v>29</v>
      </c>
      <c r="C1184" s="30">
        <v>0.5</v>
      </c>
      <c r="D1184" s="28">
        <f>YEAR(TableauFlitrage[[#This Row],[Date_d_adjudication]])</f>
        <v>2021</v>
      </c>
      <c r="E1184" s="28">
        <f t="shared" si="19"/>
        <v>10</v>
      </c>
      <c r="F1184" s="15">
        <v>44475</v>
      </c>
      <c r="G1184" s="28">
        <v>96.585937000000001</v>
      </c>
      <c r="H1184" s="15">
        <v>44659</v>
      </c>
      <c r="I1184">
        <v>100.0545</v>
      </c>
      <c r="J1184">
        <v>11000</v>
      </c>
      <c r="K1184" s="28">
        <v>6.7530999999999999</v>
      </c>
    </row>
    <row r="1185" spans="1:12" ht="15" customHeight="1" x14ac:dyDescent="0.2">
      <c r="A1185" s="28" t="s">
        <v>9</v>
      </c>
      <c r="B1185" s="2" t="s">
        <v>29</v>
      </c>
      <c r="C1185" s="30">
        <v>0.5</v>
      </c>
      <c r="D1185" s="28">
        <f>YEAR(TableauFlitrage[[#This Row],[Date_d_adjudication]])</f>
        <v>2021</v>
      </c>
      <c r="E1185" s="28">
        <f t="shared" si="19"/>
        <v>10</v>
      </c>
      <c r="F1185" s="15">
        <v>44475</v>
      </c>
      <c r="G1185" s="28">
        <v>96.967344999999995</v>
      </c>
      <c r="H1185" s="15">
        <v>44659</v>
      </c>
      <c r="I1185">
        <v>93.3</v>
      </c>
      <c r="J1185">
        <v>15000</v>
      </c>
      <c r="K1185" s="28">
        <v>5.9987000000000004</v>
      </c>
    </row>
    <row r="1186" spans="1:12" ht="15" customHeight="1" x14ac:dyDescent="0.2">
      <c r="A1186" s="28" t="s">
        <v>10</v>
      </c>
      <c r="B1186" s="2" t="s">
        <v>29</v>
      </c>
      <c r="C1186" s="30">
        <v>1</v>
      </c>
      <c r="D1186" s="28">
        <f>YEAR(TableauFlitrage[[#This Row],[Date_d_adjudication]])</f>
        <v>2021</v>
      </c>
      <c r="E1186" s="28">
        <f t="shared" si="19"/>
        <v>10</v>
      </c>
      <c r="F1186" s="15">
        <v>44475</v>
      </c>
      <c r="G1186" s="28">
        <v>91.507734999999997</v>
      </c>
      <c r="H1186" s="15">
        <v>44841</v>
      </c>
      <c r="I1186">
        <v>28.024000000000001</v>
      </c>
      <c r="J1186">
        <v>25000</v>
      </c>
      <c r="K1186" s="28">
        <v>8.3988999999999994</v>
      </c>
    </row>
    <row r="1187" spans="1:12" ht="15" customHeight="1" x14ac:dyDescent="0.2">
      <c r="A1187" s="28" t="s">
        <v>7</v>
      </c>
      <c r="B1187" s="2" t="s">
        <v>29</v>
      </c>
      <c r="C1187" s="30">
        <v>0.25</v>
      </c>
      <c r="D1187" s="28">
        <f>YEAR(TableauFlitrage[[#This Row],[Date_d_adjudication]])</f>
        <v>2021</v>
      </c>
      <c r="E1187" s="28">
        <f t="shared" si="19"/>
        <v>10</v>
      </c>
      <c r="F1187" s="15">
        <v>44482</v>
      </c>
      <c r="G1187" s="28">
        <v>99.406144999999995</v>
      </c>
      <c r="H1187" s="15">
        <v>44575</v>
      </c>
      <c r="I1187">
        <v>78.88</v>
      </c>
      <c r="J1187">
        <v>25000</v>
      </c>
      <c r="K1187" s="28">
        <v>2.3492999999999999</v>
      </c>
    </row>
    <row r="1188" spans="1:12" ht="15" customHeight="1" x14ac:dyDescent="0.2">
      <c r="A1188" s="28" t="s">
        <v>8</v>
      </c>
      <c r="B1188" s="2" t="s">
        <v>29</v>
      </c>
      <c r="C1188" s="30">
        <v>0.25</v>
      </c>
      <c r="D1188" s="28">
        <f>YEAR(TableauFlitrage[[#This Row],[Date_d_adjudication]])</f>
        <v>2021</v>
      </c>
      <c r="E1188" s="28">
        <f t="shared" si="19"/>
        <v>10</v>
      </c>
      <c r="F1188" s="15">
        <v>44482</v>
      </c>
      <c r="G1188" s="28">
        <v>98.614368999999996</v>
      </c>
      <c r="H1188" s="15">
        <v>44575</v>
      </c>
      <c r="I1188">
        <v>97.142899999999997</v>
      </c>
      <c r="J1188">
        <v>7000</v>
      </c>
      <c r="K1188" s="28">
        <v>5.4816000000000003</v>
      </c>
    </row>
    <row r="1189" spans="1:12" ht="15" customHeight="1" x14ac:dyDescent="0.2">
      <c r="A1189" s="28" t="s">
        <v>8</v>
      </c>
      <c r="B1189" s="2" t="s">
        <v>29</v>
      </c>
      <c r="C1189" s="30">
        <v>0.5</v>
      </c>
      <c r="D1189" s="28">
        <f>YEAR(TableauFlitrage[[#This Row],[Date_d_adjudication]])</f>
        <v>2021</v>
      </c>
      <c r="E1189" s="28">
        <f t="shared" si="19"/>
        <v>10</v>
      </c>
      <c r="F1189" s="15">
        <v>44482</v>
      </c>
      <c r="G1189" s="28">
        <v>96.884781000000004</v>
      </c>
      <c r="H1189" s="15">
        <v>44666</v>
      </c>
      <c r="I1189">
        <v>194.74289999999999</v>
      </c>
      <c r="J1189">
        <v>7000</v>
      </c>
      <c r="K1189" s="28">
        <v>6.1619999999999999</v>
      </c>
    </row>
    <row r="1190" spans="1:12" ht="15" customHeight="1" x14ac:dyDescent="0.2">
      <c r="A1190" s="28" t="s">
        <v>9</v>
      </c>
      <c r="B1190" s="2" t="s">
        <v>29</v>
      </c>
      <c r="C1190" s="30">
        <v>0.5</v>
      </c>
      <c r="D1190" s="28">
        <f>YEAR(TableauFlitrage[[#This Row],[Date_d_adjudication]])</f>
        <v>2021</v>
      </c>
      <c r="E1190" s="28">
        <f t="shared" si="19"/>
        <v>10</v>
      </c>
      <c r="F1190" s="15">
        <v>44482</v>
      </c>
      <c r="G1190" s="28">
        <v>97.560383000000002</v>
      </c>
      <c r="H1190" s="15">
        <v>44638</v>
      </c>
      <c r="I1190">
        <v>202</v>
      </c>
      <c r="J1190">
        <v>5000</v>
      </c>
      <c r="K1190" s="28">
        <v>5.7030000000000003</v>
      </c>
    </row>
    <row r="1191" spans="1:12" ht="15" customHeight="1" x14ac:dyDescent="0.2">
      <c r="A1191" s="28" t="s">
        <v>9</v>
      </c>
      <c r="B1191" s="2" t="s">
        <v>29</v>
      </c>
      <c r="C1191" s="30">
        <v>0.25</v>
      </c>
      <c r="D1191" s="28">
        <f>YEAR(TableauFlitrage[[#This Row],[Date_d_adjudication]])</f>
        <v>2021</v>
      </c>
      <c r="E1191" s="28">
        <f t="shared" si="19"/>
        <v>10</v>
      </c>
      <c r="F1191" s="15">
        <v>44482</v>
      </c>
      <c r="G1191" s="28">
        <v>98.537019000000001</v>
      </c>
      <c r="H1191" s="15">
        <v>44575</v>
      </c>
      <c r="I1191">
        <v>50.066699999999997</v>
      </c>
      <c r="J1191">
        <v>15000</v>
      </c>
      <c r="K1191" s="28">
        <v>5.7876000000000003</v>
      </c>
    </row>
    <row r="1192" spans="1:12" ht="15" customHeight="1" x14ac:dyDescent="0.2">
      <c r="A1192" s="28" t="s">
        <v>11</v>
      </c>
      <c r="B1192" s="2" t="s">
        <v>29</v>
      </c>
      <c r="C1192" s="30">
        <v>0.5</v>
      </c>
      <c r="D1192" s="28">
        <f>YEAR(TableauFlitrage[[#This Row],[Date_d_adjudication]])</f>
        <v>2021</v>
      </c>
      <c r="E1192" s="28">
        <f t="shared" ref="E1192:E1244" si="20">MONTH(F1192)</f>
        <v>10</v>
      </c>
      <c r="F1192" s="15">
        <v>44482</v>
      </c>
      <c r="G1192" s="28">
        <v>96.696359000000001</v>
      </c>
      <c r="H1192" s="15">
        <v>44666</v>
      </c>
      <c r="I1192">
        <v>85.393299999999996</v>
      </c>
      <c r="J1192">
        <v>15000</v>
      </c>
      <c r="K1192" s="28">
        <v>6.5347</v>
      </c>
    </row>
    <row r="1193" spans="1:12" ht="15" customHeight="1" x14ac:dyDescent="0.2">
      <c r="A1193" s="28" t="s">
        <v>11</v>
      </c>
      <c r="B1193" t="s">
        <v>30</v>
      </c>
      <c r="C1193" s="30" t="s">
        <v>54</v>
      </c>
      <c r="D1193" s="28">
        <f>YEAR(TableauFlitrage[[#This Row],[Date_d_adjudication]])</f>
        <v>2021</v>
      </c>
      <c r="E1193" s="28">
        <f t="shared" si="20"/>
        <v>10</v>
      </c>
      <c r="F1193" s="15">
        <v>44482</v>
      </c>
      <c r="G1193" s="28">
        <v>91.391300000000001</v>
      </c>
      <c r="H1193" s="15">
        <v>45580</v>
      </c>
      <c r="I1193">
        <v>76.666700000000006</v>
      </c>
      <c r="J1193">
        <v>30000</v>
      </c>
      <c r="K1193" s="28">
        <v>6</v>
      </c>
      <c r="L1193">
        <v>9.36</v>
      </c>
    </row>
    <row r="1194" spans="1:12" ht="15" customHeight="1" x14ac:dyDescent="0.2">
      <c r="A1194" s="28" t="s">
        <v>7</v>
      </c>
      <c r="B1194" s="2" t="s">
        <v>29</v>
      </c>
      <c r="C1194" s="30">
        <v>1</v>
      </c>
      <c r="D1194" s="28">
        <f>YEAR(TableauFlitrage[[#This Row],[Date_d_adjudication]])</f>
        <v>2021</v>
      </c>
      <c r="E1194" s="28">
        <f t="shared" si="20"/>
        <v>10</v>
      </c>
      <c r="F1194" s="15">
        <v>44489</v>
      </c>
      <c r="G1194" s="28">
        <v>96.873176999999998</v>
      </c>
      <c r="H1194" s="15">
        <v>44855</v>
      </c>
      <c r="I1194">
        <v>139.5</v>
      </c>
      <c r="J1194">
        <v>20000</v>
      </c>
      <c r="K1194" s="28">
        <v>3.0924999999999998</v>
      </c>
    </row>
    <row r="1195" spans="1:12" ht="15" customHeight="1" x14ac:dyDescent="0.2">
      <c r="A1195" s="28" t="s">
        <v>9</v>
      </c>
      <c r="B1195" s="2" t="s">
        <v>29</v>
      </c>
      <c r="C1195" s="30">
        <v>0.5</v>
      </c>
      <c r="D1195" s="28">
        <f>YEAR(TableauFlitrage[[#This Row],[Date_d_adjudication]])</f>
        <v>2021</v>
      </c>
      <c r="E1195" s="28">
        <f t="shared" si="20"/>
        <v>10</v>
      </c>
      <c r="F1195" s="15">
        <v>44489</v>
      </c>
      <c r="G1195" s="28">
        <v>96.889814999999999</v>
      </c>
      <c r="H1195" s="15">
        <v>44673</v>
      </c>
      <c r="I1195">
        <v>84.816699999999997</v>
      </c>
      <c r="J1195">
        <v>12000</v>
      </c>
      <c r="K1195" s="28">
        <v>6.1520000000000001</v>
      </c>
    </row>
    <row r="1196" spans="1:12" ht="15" customHeight="1" x14ac:dyDescent="0.2">
      <c r="A1196" s="28" t="s">
        <v>14</v>
      </c>
      <c r="B1196" t="s">
        <v>30</v>
      </c>
      <c r="C1196" s="30" t="s">
        <v>54</v>
      </c>
      <c r="D1196" s="28">
        <f>YEAR(TableauFlitrage[[#This Row],[Date_d_adjudication]])</f>
        <v>2021</v>
      </c>
      <c r="E1196" s="28">
        <f t="shared" si="20"/>
        <v>10</v>
      </c>
      <c r="F1196" s="15">
        <v>44489</v>
      </c>
      <c r="G1196" s="28">
        <v>87.9</v>
      </c>
      <c r="H1196" s="15">
        <v>45587</v>
      </c>
      <c r="I1196">
        <v>153.33330000000001</v>
      </c>
      <c r="J1196">
        <v>15000</v>
      </c>
      <c r="K1196" s="28">
        <v>6.25</v>
      </c>
      <c r="L1196">
        <v>11.1</v>
      </c>
    </row>
    <row r="1197" spans="1:12" ht="15" customHeight="1" x14ac:dyDescent="0.2">
      <c r="A1197" s="28" t="s">
        <v>8</v>
      </c>
      <c r="B1197" t="s">
        <v>30</v>
      </c>
      <c r="C1197" s="30" t="s">
        <v>53</v>
      </c>
      <c r="D1197" s="28">
        <f>YEAR(TableauFlitrage[[#This Row],[Date_d_adjudication]])</f>
        <v>2021</v>
      </c>
      <c r="E1197" s="28">
        <f t="shared" si="20"/>
        <v>10</v>
      </c>
      <c r="F1197" s="15">
        <v>44489</v>
      </c>
      <c r="G1197" s="28">
        <v>91.459800000000001</v>
      </c>
      <c r="H1197" s="15">
        <v>45221</v>
      </c>
      <c r="I1197">
        <v>7.218</v>
      </c>
      <c r="J1197">
        <v>15000</v>
      </c>
      <c r="K1197" s="28">
        <v>5.25</v>
      </c>
      <c r="L1197">
        <v>10.07</v>
      </c>
    </row>
    <row r="1198" spans="1:12" ht="15" customHeight="1" x14ac:dyDescent="0.2">
      <c r="A1198" s="28" t="s">
        <v>9</v>
      </c>
      <c r="B1198" t="s">
        <v>30</v>
      </c>
      <c r="C1198" s="30" t="s">
        <v>54</v>
      </c>
      <c r="D1198" s="28">
        <f>YEAR(TableauFlitrage[[#This Row],[Date_d_adjudication]])</f>
        <v>2021</v>
      </c>
      <c r="E1198" s="28">
        <f t="shared" si="20"/>
        <v>10</v>
      </c>
      <c r="F1198" s="15">
        <v>44489</v>
      </c>
      <c r="G1198" s="28">
        <v>90.264099999999999</v>
      </c>
      <c r="H1198" s="15">
        <v>45587</v>
      </c>
      <c r="I1198">
        <v>37.071199999999997</v>
      </c>
      <c r="J1198">
        <v>30000</v>
      </c>
      <c r="K1198" s="28">
        <v>5.25</v>
      </c>
      <c r="L1198">
        <v>9.0299999999999994</v>
      </c>
    </row>
    <row r="1199" spans="1:12" ht="15" customHeight="1" x14ac:dyDescent="0.2">
      <c r="A1199" s="28" t="s">
        <v>8</v>
      </c>
      <c r="B1199" s="2" t="s">
        <v>29</v>
      </c>
      <c r="C1199" s="30">
        <v>0.5</v>
      </c>
      <c r="D1199" s="28">
        <f>YEAR(TableauFlitrage[[#This Row],[Date_d_adjudication]])</f>
        <v>2021</v>
      </c>
      <c r="E1199" s="28">
        <f t="shared" si="20"/>
        <v>10</v>
      </c>
      <c r="F1199" s="15">
        <v>44496</v>
      </c>
      <c r="G1199" s="28">
        <v>96.892668999999998</v>
      </c>
      <c r="H1199" s="15">
        <v>44680</v>
      </c>
      <c r="I1199">
        <v>60.35</v>
      </c>
      <c r="J1199">
        <v>12000</v>
      </c>
      <c r="K1199" s="28">
        <v>6.1463999999999999</v>
      </c>
    </row>
    <row r="1200" spans="1:12" ht="15" customHeight="1" x14ac:dyDescent="0.2">
      <c r="A1200" s="28" t="s">
        <v>9</v>
      </c>
      <c r="B1200" s="2" t="s">
        <v>29</v>
      </c>
      <c r="C1200" s="30">
        <v>0.5</v>
      </c>
      <c r="D1200" s="28">
        <f>YEAR(TableauFlitrage[[#This Row],[Date_d_adjudication]])</f>
        <v>2021</v>
      </c>
      <c r="E1200" s="28">
        <f t="shared" si="20"/>
        <v>10</v>
      </c>
      <c r="F1200" s="15">
        <v>44496</v>
      </c>
      <c r="G1200" s="28">
        <v>96.807288</v>
      </c>
      <c r="H1200" s="15">
        <v>44680</v>
      </c>
      <c r="I1200">
        <v>42.964300000000001</v>
      </c>
      <c r="J1200">
        <v>14000</v>
      </c>
      <c r="K1200" s="28">
        <v>6.3152999999999997</v>
      </c>
    </row>
    <row r="1201" spans="1:12" ht="15" customHeight="1" x14ac:dyDescent="0.2">
      <c r="A1201" s="28" t="s">
        <v>10</v>
      </c>
      <c r="B1201" s="2" t="s">
        <v>29</v>
      </c>
      <c r="C1201" s="30">
        <v>1</v>
      </c>
      <c r="D1201" s="28">
        <f>YEAR(TableauFlitrage[[#This Row],[Date_d_adjudication]])</f>
        <v>2021</v>
      </c>
      <c r="E1201" s="28">
        <f t="shared" si="20"/>
        <v>10</v>
      </c>
      <c r="F1201" s="15">
        <v>44496</v>
      </c>
      <c r="G1201" s="28">
        <v>91.486418999999998</v>
      </c>
      <c r="H1201" s="15">
        <v>44862</v>
      </c>
      <c r="I1201">
        <v>94.56</v>
      </c>
      <c r="J1201">
        <v>10000</v>
      </c>
      <c r="K1201" s="28">
        <v>8.42</v>
      </c>
    </row>
    <row r="1202" spans="1:12" ht="15" customHeight="1" x14ac:dyDescent="0.2">
      <c r="A1202" s="28" t="s">
        <v>11</v>
      </c>
      <c r="B1202" s="2" t="s">
        <v>29</v>
      </c>
      <c r="C1202" s="30">
        <v>0.5</v>
      </c>
      <c r="D1202" s="28">
        <f>YEAR(TableauFlitrage[[#This Row],[Date_d_adjudication]])</f>
        <v>2021</v>
      </c>
      <c r="E1202" s="28">
        <f t="shared" si="20"/>
        <v>10</v>
      </c>
      <c r="F1202" s="15">
        <v>44496</v>
      </c>
      <c r="G1202" s="28">
        <v>96.713888999999995</v>
      </c>
      <c r="H1202" s="15">
        <v>44680</v>
      </c>
      <c r="I1202">
        <v>64</v>
      </c>
      <c r="J1202">
        <v>15000</v>
      </c>
      <c r="K1202" s="28">
        <v>6.5</v>
      </c>
    </row>
    <row r="1203" spans="1:12" ht="15" customHeight="1" x14ac:dyDescent="0.2">
      <c r="A1203" s="28" t="s">
        <v>8</v>
      </c>
      <c r="B1203" t="s">
        <v>30</v>
      </c>
      <c r="C1203" s="30" t="s">
        <v>53</v>
      </c>
      <c r="D1203" s="28">
        <f>YEAR(TableauFlitrage[[#This Row],[Date_d_adjudication]])</f>
        <v>2021</v>
      </c>
      <c r="E1203" s="28">
        <f t="shared" si="20"/>
        <v>10</v>
      </c>
      <c r="F1203" s="15">
        <v>44496</v>
      </c>
      <c r="G1203" s="28">
        <v>90.476399999999998</v>
      </c>
      <c r="H1203" s="15">
        <v>45221</v>
      </c>
      <c r="I1203">
        <v>62.785899999999998</v>
      </c>
      <c r="J1203">
        <v>10000</v>
      </c>
      <c r="K1203" s="28">
        <v>5.25</v>
      </c>
      <c r="L1203">
        <v>10.66</v>
      </c>
    </row>
    <row r="1204" spans="1:12" ht="15" customHeight="1" x14ac:dyDescent="0.2">
      <c r="A1204" s="28" t="s">
        <v>7</v>
      </c>
      <c r="B1204" t="s">
        <v>30</v>
      </c>
      <c r="C1204" s="30" t="s">
        <v>54</v>
      </c>
      <c r="D1204" s="28">
        <f>YEAR(TableauFlitrage[[#This Row],[Date_d_adjudication]])</f>
        <v>2021</v>
      </c>
      <c r="E1204" s="28">
        <f t="shared" si="20"/>
        <v>10</v>
      </c>
      <c r="F1204" s="15">
        <v>44496</v>
      </c>
      <c r="G1204" s="28">
        <v>98.808199999999999</v>
      </c>
      <c r="H1204" s="15">
        <v>45594</v>
      </c>
      <c r="I1204">
        <v>87.525000000000006</v>
      </c>
      <c r="J1204">
        <v>40000</v>
      </c>
      <c r="K1204" s="28">
        <v>3.7</v>
      </c>
      <c r="L1204">
        <v>4.13</v>
      </c>
    </row>
    <row r="1205" spans="1:12" ht="15" customHeight="1" x14ac:dyDescent="0.2">
      <c r="A1205" s="28" t="s">
        <v>11</v>
      </c>
      <c r="B1205" t="s">
        <v>30</v>
      </c>
      <c r="C1205" s="30" t="s">
        <v>54</v>
      </c>
      <c r="D1205" s="28">
        <f>YEAR(TableauFlitrage[[#This Row],[Date_d_adjudication]])</f>
        <v>2021</v>
      </c>
      <c r="E1205" s="28">
        <f t="shared" si="20"/>
        <v>10</v>
      </c>
      <c r="F1205" s="15">
        <v>44496</v>
      </c>
      <c r="G1205" s="28">
        <v>100</v>
      </c>
      <c r="H1205" s="15">
        <v>45594</v>
      </c>
      <c r="I1205">
        <v>118.0145</v>
      </c>
      <c r="J1205">
        <v>8000</v>
      </c>
      <c r="K1205" s="28">
        <v>5</v>
      </c>
      <c r="L1205">
        <v>5</v>
      </c>
    </row>
    <row r="1206" spans="1:12" ht="15" customHeight="1" x14ac:dyDescent="0.2">
      <c r="A1206" s="28" t="s">
        <v>7</v>
      </c>
      <c r="B1206" s="2" t="s">
        <v>29</v>
      </c>
      <c r="C1206" s="30">
        <v>1</v>
      </c>
      <c r="D1206" s="28">
        <f>YEAR(TableauFlitrage[[#This Row],[Date_d_adjudication]])</f>
        <v>2021</v>
      </c>
      <c r="E1206" s="28">
        <f t="shared" si="20"/>
        <v>11</v>
      </c>
      <c r="F1206" s="15">
        <v>44503</v>
      </c>
      <c r="G1206" s="28">
        <v>96.817223999999996</v>
      </c>
      <c r="H1206" s="15">
        <v>44869</v>
      </c>
      <c r="I1206">
        <v>101.8</v>
      </c>
      <c r="J1206">
        <v>10000</v>
      </c>
      <c r="K1206" s="28">
        <v>3.1478000000000002</v>
      </c>
    </row>
    <row r="1207" spans="1:12" ht="15" customHeight="1" x14ac:dyDescent="0.2">
      <c r="A1207" s="28" t="s">
        <v>19</v>
      </c>
      <c r="B1207" s="2" t="s">
        <v>29</v>
      </c>
      <c r="C1207" s="30">
        <v>0.5</v>
      </c>
      <c r="D1207" s="28">
        <f>YEAR(TableauFlitrage[[#This Row],[Date_d_adjudication]])</f>
        <v>2021</v>
      </c>
      <c r="E1207" s="28">
        <f t="shared" si="20"/>
        <v>11</v>
      </c>
      <c r="F1207" s="15">
        <v>44503</v>
      </c>
      <c r="G1207" s="28">
        <v>99.669443999999999</v>
      </c>
      <c r="H1207" s="15">
        <v>44624</v>
      </c>
      <c r="I1207">
        <v>62.5</v>
      </c>
      <c r="J1207">
        <v>4000</v>
      </c>
      <c r="K1207" s="28">
        <v>1</v>
      </c>
    </row>
    <row r="1208" spans="1:12" ht="15" customHeight="1" x14ac:dyDescent="0.2">
      <c r="A1208" s="28" t="s">
        <v>8</v>
      </c>
      <c r="B1208" s="2" t="s">
        <v>29</v>
      </c>
      <c r="C1208" s="30">
        <v>1</v>
      </c>
      <c r="D1208" s="28">
        <f>YEAR(TableauFlitrage[[#This Row],[Date_d_adjudication]])</f>
        <v>2021</v>
      </c>
      <c r="E1208" s="28">
        <f t="shared" si="20"/>
        <v>11</v>
      </c>
      <c r="F1208" s="15">
        <v>44503</v>
      </c>
      <c r="G1208" s="28">
        <v>93.051345999999995</v>
      </c>
      <c r="H1208" s="15">
        <v>44869</v>
      </c>
      <c r="I1208">
        <v>38.200000000000003</v>
      </c>
      <c r="J1208">
        <v>12000</v>
      </c>
      <c r="K1208" s="28">
        <v>6.8723000000000001</v>
      </c>
    </row>
    <row r="1209" spans="1:12" ht="15" customHeight="1" x14ac:dyDescent="0.2">
      <c r="A1209" s="28" t="s">
        <v>9</v>
      </c>
      <c r="B1209" s="2" t="s">
        <v>29</v>
      </c>
      <c r="C1209" s="30">
        <v>1</v>
      </c>
      <c r="D1209" s="28">
        <f>YEAR(TableauFlitrage[[#This Row],[Date_d_adjudication]])</f>
        <v>2021</v>
      </c>
      <c r="E1209" s="28">
        <f t="shared" si="20"/>
        <v>11</v>
      </c>
      <c r="F1209" s="15">
        <v>44503</v>
      </c>
      <c r="G1209" s="28">
        <v>93.294865999999999</v>
      </c>
      <c r="H1209" s="15">
        <v>44869</v>
      </c>
      <c r="I1209">
        <v>63</v>
      </c>
      <c r="J1209">
        <v>10000</v>
      </c>
      <c r="K1209" s="28">
        <v>6.6315</v>
      </c>
    </row>
    <row r="1210" spans="1:12" ht="15" customHeight="1" x14ac:dyDescent="0.2">
      <c r="A1210" s="28" t="s">
        <v>11</v>
      </c>
      <c r="B1210" t="s">
        <v>30</v>
      </c>
      <c r="C1210" s="30" t="s">
        <v>55</v>
      </c>
      <c r="D1210" s="28">
        <f>YEAR(TableauFlitrage[[#This Row],[Date_d_adjudication]])</f>
        <v>2021</v>
      </c>
      <c r="E1210" s="28">
        <f t="shared" si="20"/>
        <v>11</v>
      </c>
      <c r="F1210" s="15">
        <v>44503</v>
      </c>
      <c r="G1210" s="28">
        <v>100</v>
      </c>
      <c r="H1210" s="15">
        <v>46331</v>
      </c>
      <c r="I1210">
        <v>6.6611000000000002</v>
      </c>
      <c r="J1210">
        <v>9000</v>
      </c>
      <c r="K1210" s="28">
        <v>5</v>
      </c>
      <c r="L1210">
        <v>5</v>
      </c>
    </row>
    <row r="1211" spans="1:12" ht="15" customHeight="1" x14ac:dyDescent="0.2">
      <c r="A1211" s="28" t="s">
        <v>7</v>
      </c>
      <c r="B1211" s="2" t="s">
        <v>29</v>
      </c>
      <c r="C1211" s="30">
        <v>0.25</v>
      </c>
      <c r="D1211" s="28">
        <f>YEAR(TableauFlitrage[[#This Row],[Date_d_adjudication]])</f>
        <v>2021</v>
      </c>
      <c r="E1211" s="28">
        <f t="shared" si="20"/>
        <v>11</v>
      </c>
      <c r="F1211" s="15">
        <v>44510</v>
      </c>
      <c r="G1211" s="28">
        <v>99.333112999999997</v>
      </c>
      <c r="H1211" s="15">
        <v>44603</v>
      </c>
      <c r="I1211">
        <v>68.400000000000006</v>
      </c>
      <c r="J1211">
        <v>25000</v>
      </c>
      <c r="K1211" s="28">
        <v>2.6558999999999999</v>
      </c>
    </row>
    <row r="1212" spans="1:12" ht="15" customHeight="1" x14ac:dyDescent="0.2">
      <c r="A1212" s="28" t="s">
        <v>8</v>
      </c>
      <c r="B1212" s="2" t="s">
        <v>29</v>
      </c>
      <c r="C1212" s="30">
        <v>0.5</v>
      </c>
      <c r="D1212" s="28">
        <f>YEAR(TableauFlitrage[[#This Row],[Date_d_adjudication]])</f>
        <v>2021</v>
      </c>
      <c r="E1212" s="28">
        <f t="shared" si="20"/>
        <v>11</v>
      </c>
      <c r="F1212" s="15">
        <v>44510</v>
      </c>
      <c r="G1212" s="28">
        <v>96.704600999999997</v>
      </c>
      <c r="H1212" s="15">
        <v>44694</v>
      </c>
      <c r="I1212">
        <v>70.760000000000005</v>
      </c>
      <c r="J1212">
        <v>15000</v>
      </c>
      <c r="K1212" s="28">
        <v>6.7404999999999999</v>
      </c>
    </row>
    <row r="1213" spans="1:12" ht="15" customHeight="1" x14ac:dyDescent="0.2">
      <c r="A1213" s="28" t="s">
        <v>9</v>
      </c>
      <c r="B1213" s="2" t="s">
        <v>29</v>
      </c>
      <c r="C1213" s="30">
        <v>0.5</v>
      </c>
      <c r="D1213" s="28">
        <f>YEAR(TableauFlitrage[[#This Row],[Date_d_adjudication]])</f>
        <v>2021</v>
      </c>
      <c r="E1213" s="28">
        <f t="shared" si="20"/>
        <v>11</v>
      </c>
      <c r="F1213" s="15">
        <v>44510</v>
      </c>
      <c r="G1213" s="28">
        <v>96.841477999999995</v>
      </c>
      <c r="H1213" s="15">
        <v>44694</v>
      </c>
      <c r="I1213">
        <v>178.10830000000001</v>
      </c>
      <c r="J1213">
        <v>12000</v>
      </c>
      <c r="K1213" s="28">
        <v>6.4513999999999996</v>
      </c>
    </row>
    <row r="1214" spans="1:12" ht="15" customHeight="1" x14ac:dyDescent="0.2">
      <c r="A1214" s="28" t="s">
        <v>10</v>
      </c>
      <c r="B1214" s="2" t="s">
        <v>29</v>
      </c>
      <c r="C1214" s="30">
        <v>1</v>
      </c>
      <c r="D1214" s="28">
        <f>YEAR(TableauFlitrage[[#This Row],[Date_d_adjudication]])</f>
        <v>2021</v>
      </c>
      <c r="E1214" s="28">
        <f t="shared" si="20"/>
        <v>11</v>
      </c>
      <c r="F1214" s="15">
        <v>44510</v>
      </c>
      <c r="G1214" s="28">
        <v>91.603961999999996</v>
      </c>
      <c r="H1214" s="15">
        <v>44876</v>
      </c>
      <c r="I1214">
        <v>86.52</v>
      </c>
      <c r="J1214">
        <v>15000</v>
      </c>
      <c r="K1214" s="28">
        <v>9.0648999999999997</v>
      </c>
    </row>
    <row r="1215" spans="1:12" ht="15" customHeight="1" x14ac:dyDescent="0.2">
      <c r="A1215" s="28" t="s">
        <v>11</v>
      </c>
      <c r="B1215" t="s">
        <v>30</v>
      </c>
      <c r="C1215" s="30" t="s">
        <v>53</v>
      </c>
      <c r="D1215" s="28">
        <f>YEAR(TableauFlitrage[[#This Row],[Date_d_adjudication]])</f>
        <v>2021</v>
      </c>
      <c r="E1215" s="28">
        <f t="shared" si="20"/>
        <v>11</v>
      </c>
      <c r="F1215" s="15">
        <v>44510</v>
      </c>
      <c r="G1215" s="28">
        <v>90.110799999999998</v>
      </c>
      <c r="H1215" s="15">
        <v>45242</v>
      </c>
      <c r="I1215">
        <v>39.4</v>
      </c>
      <c r="J1215">
        <v>30000</v>
      </c>
      <c r="K1215" s="28">
        <v>5.5</v>
      </c>
      <c r="L1215">
        <v>11.15</v>
      </c>
    </row>
    <row r="1216" spans="1:12" ht="15" customHeight="1" x14ac:dyDescent="0.2">
      <c r="A1216" s="28" t="s">
        <v>8</v>
      </c>
      <c r="B1216" s="2" t="s">
        <v>29</v>
      </c>
      <c r="C1216" s="30">
        <v>0.25</v>
      </c>
      <c r="D1216" s="28">
        <f>YEAR(TableauFlitrage[[#This Row],[Date_d_adjudication]])</f>
        <v>2021</v>
      </c>
      <c r="E1216" s="28">
        <f t="shared" si="20"/>
        <v>11</v>
      </c>
      <c r="F1216" s="15">
        <v>44517</v>
      </c>
      <c r="G1216" s="28">
        <v>98.51558</v>
      </c>
      <c r="H1216" s="15">
        <v>44610</v>
      </c>
      <c r="I1216">
        <v>58.51</v>
      </c>
      <c r="J1216">
        <v>10000</v>
      </c>
      <c r="K1216" s="28">
        <v>5.8723999999999998</v>
      </c>
    </row>
    <row r="1217" spans="1:12" ht="15" customHeight="1" x14ac:dyDescent="0.2">
      <c r="A1217" s="28" t="s">
        <v>8</v>
      </c>
      <c r="B1217" s="2" t="s">
        <v>29</v>
      </c>
      <c r="C1217" s="30">
        <v>0.5</v>
      </c>
      <c r="D1217" s="28">
        <f>YEAR(TableauFlitrage[[#This Row],[Date_d_adjudication]])</f>
        <v>2021</v>
      </c>
      <c r="E1217" s="28">
        <f t="shared" si="20"/>
        <v>11</v>
      </c>
      <c r="F1217" s="15">
        <v>44517</v>
      </c>
      <c r="G1217" s="28">
        <v>96.797160000000005</v>
      </c>
      <c r="H1217" s="15">
        <v>44694</v>
      </c>
      <c r="I1217">
        <v>112.08</v>
      </c>
      <c r="J1217">
        <v>5000</v>
      </c>
      <c r="K1217" s="28">
        <v>6.5887000000000002</v>
      </c>
    </row>
    <row r="1218" spans="1:12" ht="15" customHeight="1" x14ac:dyDescent="0.2">
      <c r="A1218" s="28" t="s">
        <v>9</v>
      </c>
      <c r="B1218" t="s">
        <v>30</v>
      </c>
      <c r="C1218" s="30" t="s">
        <v>54</v>
      </c>
      <c r="D1218" s="28">
        <f>YEAR(TableauFlitrage[[#This Row],[Date_d_adjudication]])</f>
        <v>2021</v>
      </c>
      <c r="E1218" s="28">
        <f t="shared" si="20"/>
        <v>11</v>
      </c>
      <c r="F1218" s="15">
        <v>44517</v>
      </c>
      <c r="G1218" s="28">
        <v>92.460599999999999</v>
      </c>
      <c r="H1218" s="15">
        <v>45587</v>
      </c>
      <c r="I1218">
        <v>138.8708</v>
      </c>
      <c r="J1218">
        <v>15000</v>
      </c>
      <c r="K1218" s="28">
        <v>5.25</v>
      </c>
      <c r="L1218">
        <v>8.1300000000000008</v>
      </c>
    </row>
    <row r="1219" spans="1:12" ht="15" customHeight="1" x14ac:dyDescent="0.2">
      <c r="A1219" s="28" t="s">
        <v>9</v>
      </c>
      <c r="B1219" s="2" t="s">
        <v>29</v>
      </c>
      <c r="C1219" s="30">
        <v>0.5</v>
      </c>
      <c r="D1219" s="28">
        <f>YEAR(TableauFlitrage[[#This Row],[Date_d_adjudication]])</f>
        <v>2021</v>
      </c>
      <c r="E1219" s="28">
        <f t="shared" si="20"/>
        <v>11</v>
      </c>
      <c r="F1219" s="15">
        <v>44524</v>
      </c>
      <c r="G1219" s="28">
        <v>96.962243000000001</v>
      </c>
      <c r="H1219" s="15">
        <v>44708</v>
      </c>
      <c r="I1219">
        <v>57.213299999999997</v>
      </c>
      <c r="J1219">
        <v>15000</v>
      </c>
      <c r="K1219" s="28">
        <v>6.0087000000000002</v>
      </c>
    </row>
    <row r="1220" spans="1:12" ht="15" customHeight="1" x14ac:dyDescent="0.2">
      <c r="A1220" s="28" t="s">
        <v>10</v>
      </c>
      <c r="B1220" s="2" t="s">
        <v>29</v>
      </c>
      <c r="C1220" s="30">
        <v>1</v>
      </c>
      <c r="D1220" s="28">
        <f>YEAR(TableauFlitrage[[#This Row],[Date_d_adjudication]])</f>
        <v>2021</v>
      </c>
      <c r="E1220" s="28">
        <f t="shared" si="20"/>
        <v>11</v>
      </c>
      <c r="F1220" s="15">
        <v>44524</v>
      </c>
      <c r="G1220" s="28">
        <v>91.806205000000006</v>
      </c>
      <c r="H1220" s="15">
        <v>44890</v>
      </c>
      <c r="I1220">
        <v>25.846699999999998</v>
      </c>
      <c r="J1220">
        <v>15000</v>
      </c>
      <c r="K1220" s="28">
        <v>8.1037999999999997</v>
      </c>
    </row>
    <row r="1221" spans="1:12" ht="15" customHeight="1" x14ac:dyDescent="0.2">
      <c r="A1221" s="28" t="s">
        <v>7</v>
      </c>
      <c r="B1221" t="s">
        <v>30</v>
      </c>
      <c r="C1221" s="30" t="s">
        <v>57</v>
      </c>
      <c r="D1221" s="28">
        <f>YEAR(TableauFlitrage[[#This Row],[Date_d_adjudication]])</f>
        <v>2021</v>
      </c>
      <c r="E1221" s="28">
        <f t="shared" si="20"/>
        <v>11</v>
      </c>
      <c r="F1221" s="15">
        <v>44524</v>
      </c>
      <c r="G1221" s="28">
        <v>98.387100000000004</v>
      </c>
      <c r="H1221" s="15">
        <v>46717</v>
      </c>
      <c r="I1221">
        <v>83.939800000000005</v>
      </c>
      <c r="J1221">
        <v>40000</v>
      </c>
      <c r="K1221" s="28">
        <v>5.9</v>
      </c>
      <c r="L1221">
        <v>6.23</v>
      </c>
    </row>
    <row r="1222" spans="1:12" ht="15" customHeight="1" x14ac:dyDescent="0.2">
      <c r="A1222" s="28" t="s">
        <v>8</v>
      </c>
      <c r="B1222" t="s">
        <v>30</v>
      </c>
      <c r="C1222" s="30" t="s">
        <v>53</v>
      </c>
      <c r="D1222" s="28">
        <f>YEAR(TableauFlitrage[[#This Row],[Date_d_adjudication]])</f>
        <v>2021</v>
      </c>
      <c r="E1222" s="28">
        <f t="shared" si="20"/>
        <v>11</v>
      </c>
      <c r="F1222" s="15">
        <v>44524</v>
      </c>
      <c r="G1222" s="28">
        <v>90.808800000000005</v>
      </c>
      <c r="H1222" s="15">
        <v>45221</v>
      </c>
      <c r="I1222">
        <v>50.472499999999997</v>
      </c>
      <c r="J1222">
        <v>10000</v>
      </c>
      <c r="K1222" s="28">
        <v>5.25</v>
      </c>
      <c r="L1222">
        <v>10.46</v>
      </c>
    </row>
    <row r="1223" spans="1:12" ht="15" customHeight="1" x14ac:dyDescent="0.2">
      <c r="A1223" s="28" t="s">
        <v>8</v>
      </c>
      <c r="B1223" t="s">
        <v>30</v>
      </c>
      <c r="C1223" s="30" t="s">
        <v>56</v>
      </c>
      <c r="D1223" s="28">
        <f>YEAR(TableauFlitrage[[#This Row],[Date_d_adjudication]])</f>
        <v>2021</v>
      </c>
      <c r="E1223" s="28">
        <f t="shared" si="20"/>
        <v>11</v>
      </c>
      <c r="F1223" s="15">
        <v>44524</v>
      </c>
      <c r="G1223" s="28">
        <v>89.262100000000004</v>
      </c>
      <c r="H1223" s="15">
        <v>45987</v>
      </c>
      <c r="I1223">
        <v>81.103399999999993</v>
      </c>
      <c r="J1223">
        <v>25000</v>
      </c>
      <c r="K1223" s="28">
        <v>6.25</v>
      </c>
      <c r="L1223">
        <v>9.5399999999999991</v>
      </c>
    </row>
    <row r="1224" spans="1:12" ht="15" customHeight="1" x14ac:dyDescent="0.2">
      <c r="A1224" s="28" t="s">
        <v>7</v>
      </c>
      <c r="B1224" s="2" t="s">
        <v>29</v>
      </c>
      <c r="C1224" s="30">
        <v>0.25</v>
      </c>
      <c r="D1224" s="28">
        <f>YEAR(TableauFlitrage[[#This Row],[Date_d_adjudication]])</f>
        <v>2021</v>
      </c>
      <c r="E1224" s="28">
        <f t="shared" si="20"/>
        <v>12</v>
      </c>
      <c r="F1224" s="15">
        <v>44531</v>
      </c>
      <c r="G1224" s="28">
        <v>99.322239999999994</v>
      </c>
      <c r="H1224" s="15">
        <v>44624</v>
      </c>
      <c r="I1224">
        <v>80.05</v>
      </c>
      <c r="J1224">
        <v>20000</v>
      </c>
      <c r="K1224" s="28">
        <v>2.6812999999999998</v>
      </c>
    </row>
    <row r="1225" spans="1:12" ht="15" customHeight="1" x14ac:dyDescent="0.2">
      <c r="A1225" s="28" t="s">
        <v>8</v>
      </c>
      <c r="B1225" s="2" t="s">
        <v>29</v>
      </c>
      <c r="C1225" s="30">
        <v>1</v>
      </c>
      <c r="D1225" s="28">
        <f>YEAR(TableauFlitrage[[#This Row],[Date_d_adjudication]])</f>
        <v>2021</v>
      </c>
      <c r="E1225" s="28">
        <f t="shared" si="20"/>
        <v>12</v>
      </c>
      <c r="F1225" s="15">
        <v>44531</v>
      </c>
      <c r="G1225" s="28">
        <v>94.410653999999994</v>
      </c>
      <c r="H1225" s="15">
        <v>44834</v>
      </c>
      <c r="I1225">
        <v>64</v>
      </c>
      <c r="J1225">
        <v>8000</v>
      </c>
      <c r="K1225" s="28">
        <v>6.6848999999999998</v>
      </c>
    </row>
    <row r="1226" spans="1:12" ht="15" customHeight="1" x14ac:dyDescent="0.2">
      <c r="A1226" s="28" t="s">
        <v>9</v>
      </c>
      <c r="B1226" s="2" t="s">
        <v>29</v>
      </c>
      <c r="C1226" s="30">
        <v>0.5</v>
      </c>
      <c r="D1226" s="28">
        <f>YEAR(TableauFlitrage[[#This Row],[Date_d_adjudication]])</f>
        <v>2021</v>
      </c>
      <c r="E1226" s="28">
        <f t="shared" si="20"/>
        <v>12</v>
      </c>
      <c r="F1226" s="15">
        <v>44531</v>
      </c>
      <c r="G1226" s="28">
        <v>96.786088000000007</v>
      </c>
      <c r="H1226" s="15">
        <v>44715</v>
      </c>
      <c r="I1226">
        <v>70.445499999999996</v>
      </c>
      <c r="J1226">
        <v>11000</v>
      </c>
      <c r="K1226" s="28">
        <v>6.3571999999999997</v>
      </c>
    </row>
    <row r="1227" spans="1:12" ht="15" customHeight="1" x14ac:dyDescent="0.2">
      <c r="A1227" s="28" t="s">
        <v>8</v>
      </c>
      <c r="B1227" s="2" t="s">
        <v>29</v>
      </c>
      <c r="C1227" s="30">
        <v>0.5</v>
      </c>
      <c r="D1227" s="28">
        <f>YEAR(TableauFlitrage[[#This Row],[Date_d_adjudication]])</f>
        <v>2021</v>
      </c>
      <c r="E1227" s="28">
        <f t="shared" si="20"/>
        <v>12</v>
      </c>
      <c r="F1227" s="15">
        <v>44538</v>
      </c>
      <c r="G1227" s="28">
        <v>96.489316000000002</v>
      </c>
      <c r="H1227" s="15">
        <v>44722</v>
      </c>
      <c r="I1227">
        <v>59.15</v>
      </c>
      <c r="J1227">
        <v>10000</v>
      </c>
      <c r="K1227" s="28">
        <v>6.9442000000000004</v>
      </c>
    </row>
    <row r="1228" spans="1:12" ht="15" customHeight="1" x14ac:dyDescent="0.2">
      <c r="A1228" s="28" t="s">
        <v>9</v>
      </c>
      <c r="B1228" s="2" t="s">
        <v>29</v>
      </c>
      <c r="C1228" s="30">
        <v>1</v>
      </c>
      <c r="D1228" s="28">
        <f>YEAR(TableauFlitrage[[#This Row],[Date_d_adjudication]])</f>
        <v>2021</v>
      </c>
      <c r="E1228" s="28">
        <f t="shared" si="20"/>
        <v>12</v>
      </c>
      <c r="F1228" s="15">
        <v>44538</v>
      </c>
      <c r="G1228" s="28">
        <v>93.427778000000004</v>
      </c>
      <c r="H1228" s="15">
        <v>44904</v>
      </c>
      <c r="I1228">
        <v>31</v>
      </c>
      <c r="J1228">
        <v>10000</v>
      </c>
      <c r="K1228" s="28">
        <v>6.5</v>
      </c>
    </row>
    <row r="1229" spans="1:12" ht="15" customHeight="1" x14ac:dyDescent="0.2">
      <c r="A1229" s="28" t="s">
        <v>10</v>
      </c>
      <c r="B1229" s="2" t="s">
        <v>29</v>
      </c>
      <c r="C1229" s="30">
        <v>1</v>
      </c>
      <c r="D1229" s="28">
        <f>YEAR(TableauFlitrage[[#This Row],[Date_d_adjudication]])</f>
        <v>2021</v>
      </c>
      <c r="E1229" s="28">
        <f t="shared" si="20"/>
        <v>12</v>
      </c>
      <c r="F1229" s="15">
        <v>44538</v>
      </c>
      <c r="G1229" s="28">
        <v>91.427062000000006</v>
      </c>
      <c r="H1229" s="15">
        <v>44904</v>
      </c>
      <c r="I1229">
        <v>40.04</v>
      </c>
      <c r="J1229">
        <v>15000</v>
      </c>
      <c r="K1229" s="28">
        <v>8.4786999999999999</v>
      </c>
    </row>
    <row r="1230" spans="1:12" ht="15" customHeight="1" x14ac:dyDescent="0.2">
      <c r="A1230" s="28" t="s">
        <v>7</v>
      </c>
      <c r="B1230" t="s">
        <v>30</v>
      </c>
      <c r="C1230" s="30" t="s">
        <v>53</v>
      </c>
      <c r="D1230" s="28">
        <f>YEAR(TableauFlitrage[[#This Row],[Date_d_adjudication]])</f>
        <v>2021</v>
      </c>
      <c r="E1230" s="28">
        <f t="shared" si="20"/>
        <v>12</v>
      </c>
      <c r="F1230" s="15">
        <v>44538</v>
      </c>
      <c r="G1230" s="28">
        <v>98.22</v>
      </c>
      <c r="H1230" s="15">
        <v>45270</v>
      </c>
      <c r="I1230">
        <v>162</v>
      </c>
      <c r="J1230">
        <v>25000</v>
      </c>
      <c r="K1230" s="28">
        <v>3.4</v>
      </c>
      <c r="L1230">
        <v>4.34</v>
      </c>
    </row>
    <row r="1231" spans="1:12" ht="15" customHeight="1" x14ac:dyDescent="0.2">
      <c r="A1231" s="28" t="s">
        <v>8</v>
      </c>
      <c r="B1231" t="s">
        <v>30</v>
      </c>
      <c r="C1231" s="30" t="s">
        <v>53</v>
      </c>
      <c r="D1231" s="28">
        <f>YEAR(TableauFlitrage[[#This Row],[Date_d_adjudication]])</f>
        <v>2021</v>
      </c>
      <c r="E1231" s="28">
        <f t="shared" si="20"/>
        <v>12</v>
      </c>
      <c r="F1231" s="15">
        <v>44538</v>
      </c>
      <c r="G1231" s="28">
        <v>90.1982</v>
      </c>
      <c r="H1231" s="15">
        <v>45270</v>
      </c>
      <c r="I1231">
        <v>24.622499999999999</v>
      </c>
      <c r="J1231">
        <v>20000</v>
      </c>
      <c r="K1231" s="28">
        <v>5.25</v>
      </c>
      <c r="L1231">
        <v>10.83</v>
      </c>
    </row>
    <row r="1232" spans="1:12" ht="15" customHeight="1" x14ac:dyDescent="0.2">
      <c r="A1232" s="28" t="s">
        <v>9</v>
      </c>
      <c r="B1232" t="s">
        <v>30</v>
      </c>
      <c r="C1232" s="30" t="s">
        <v>54</v>
      </c>
      <c r="D1232" s="28">
        <f>YEAR(TableauFlitrage[[#This Row],[Date_d_adjudication]])</f>
        <v>2021</v>
      </c>
      <c r="E1232" s="28">
        <f t="shared" si="20"/>
        <v>12</v>
      </c>
      <c r="F1232" s="15">
        <v>44538</v>
      </c>
      <c r="G1232" s="28">
        <v>90.365899999999996</v>
      </c>
      <c r="H1232" s="15">
        <v>45636</v>
      </c>
      <c r="I1232">
        <v>55.366700000000002</v>
      </c>
      <c r="J1232">
        <v>15000</v>
      </c>
      <c r="K1232" s="28">
        <v>5.25</v>
      </c>
      <c r="L1232">
        <v>8.99</v>
      </c>
    </row>
    <row r="1233" spans="1:12" ht="15" customHeight="1" x14ac:dyDescent="0.2">
      <c r="A1233" s="28" t="s">
        <v>9</v>
      </c>
      <c r="B1233" t="s">
        <v>30</v>
      </c>
      <c r="C1233" s="30" t="s">
        <v>55</v>
      </c>
      <c r="D1233" s="28">
        <f>YEAR(TableauFlitrage[[#This Row],[Date_d_adjudication]])</f>
        <v>2021</v>
      </c>
      <c r="E1233" s="28">
        <f t="shared" si="20"/>
        <v>12</v>
      </c>
      <c r="F1233" s="15">
        <v>44538</v>
      </c>
      <c r="G1233" s="28">
        <v>91.245999999999995</v>
      </c>
      <c r="H1233" s="15">
        <v>46247</v>
      </c>
      <c r="I1233">
        <v>85.049099999999996</v>
      </c>
      <c r="J1233">
        <v>17500</v>
      </c>
      <c r="K1233" s="28">
        <v>6.25</v>
      </c>
      <c r="L1233">
        <v>8.43</v>
      </c>
    </row>
    <row r="1234" spans="1:12" ht="15" customHeight="1" x14ac:dyDescent="0.2">
      <c r="A1234" s="28" t="s">
        <v>8</v>
      </c>
      <c r="B1234" s="2" t="s">
        <v>29</v>
      </c>
      <c r="C1234" s="30">
        <v>0.5</v>
      </c>
      <c r="D1234" s="28">
        <f>YEAR(TableauFlitrage[[#This Row],[Date_d_adjudication]])</f>
        <v>2021</v>
      </c>
      <c r="E1234" s="28">
        <f t="shared" si="20"/>
        <v>12</v>
      </c>
      <c r="F1234" s="15">
        <v>44545</v>
      </c>
      <c r="G1234" s="28">
        <v>96.778865999999994</v>
      </c>
      <c r="H1234" s="15">
        <v>44729</v>
      </c>
      <c r="I1234">
        <v>72.400000000000006</v>
      </c>
      <c r="J1234">
        <v>15000</v>
      </c>
      <c r="K1234" s="28">
        <v>6.3715000000000002</v>
      </c>
    </row>
    <row r="1235" spans="1:12" ht="15" customHeight="1" x14ac:dyDescent="0.2">
      <c r="A1235" s="28" t="s">
        <v>9</v>
      </c>
      <c r="B1235" s="2" t="s">
        <v>29</v>
      </c>
      <c r="C1235" s="30">
        <v>0.5</v>
      </c>
      <c r="D1235" s="28">
        <f>YEAR(TableauFlitrage[[#This Row],[Date_d_adjudication]])</f>
        <v>2021</v>
      </c>
      <c r="E1235" s="28">
        <f t="shared" si="20"/>
        <v>12</v>
      </c>
      <c r="F1235" s="15">
        <v>44545</v>
      </c>
      <c r="G1235" s="28">
        <v>96.720018999999994</v>
      </c>
      <c r="H1235" s="15">
        <v>44729</v>
      </c>
      <c r="I1235">
        <v>54.98</v>
      </c>
      <c r="J1235">
        <v>15000</v>
      </c>
      <c r="K1235" s="28">
        <v>6.4878999999999998</v>
      </c>
    </row>
    <row r="1236" spans="1:12" ht="15" customHeight="1" x14ac:dyDescent="0.2">
      <c r="A1236" s="28" t="s">
        <v>7</v>
      </c>
      <c r="B1236" t="s">
        <v>30</v>
      </c>
      <c r="C1236" s="30" t="s">
        <v>53</v>
      </c>
      <c r="D1236" s="28">
        <f>YEAR(TableauFlitrage[[#This Row],[Date_d_adjudication]])</f>
        <v>2021</v>
      </c>
      <c r="E1236" s="28">
        <f t="shared" si="20"/>
        <v>12</v>
      </c>
      <c r="F1236" s="15">
        <v>44545</v>
      </c>
      <c r="G1236" s="28">
        <v>100</v>
      </c>
      <c r="H1236" s="15">
        <v>45277</v>
      </c>
      <c r="J1236">
        <v>20000</v>
      </c>
      <c r="K1236" s="28">
        <v>3.4</v>
      </c>
      <c r="L1236" t="s">
        <v>23</v>
      </c>
    </row>
    <row r="1237" spans="1:12" ht="15" customHeight="1" x14ac:dyDescent="0.2">
      <c r="A1237" s="28" t="s">
        <v>8</v>
      </c>
      <c r="B1237" t="s">
        <v>30</v>
      </c>
      <c r="C1237" s="30" t="s">
        <v>53</v>
      </c>
      <c r="D1237" s="28">
        <f>YEAR(TableauFlitrage[[#This Row],[Date_d_adjudication]])</f>
        <v>2021</v>
      </c>
      <c r="E1237" s="28">
        <f t="shared" si="20"/>
        <v>12</v>
      </c>
      <c r="F1237" s="15">
        <v>44545</v>
      </c>
      <c r="G1237" s="28">
        <v>90.203100000000006</v>
      </c>
      <c r="H1237" s="15">
        <v>45270</v>
      </c>
      <c r="I1237">
        <v>22.06</v>
      </c>
      <c r="J1237">
        <v>15000</v>
      </c>
      <c r="K1237" s="28">
        <v>5.25</v>
      </c>
      <c r="L1237">
        <v>10.83</v>
      </c>
    </row>
    <row r="1238" spans="1:12" ht="15" customHeight="1" x14ac:dyDescent="0.2">
      <c r="A1238" s="28" t="s">
        <v>11</v>
      </c>
      <c r="B1238" t="s">
        <v>30</v>
      </c>
      <c r="C1238" s="30" t="s">
        <v>54</v>
      </c>
      <c r="D1238" s="28">
        <f>YEAR(TableauFlitrage[[#This Row],[Date_d_adjudication]])</f>
        <v>2021</v>
      </c>
      <c r="E1238" s="28">
        <f t="shared" si="20"/>
        <v>12</v>
      </c>
      <c r="F1238" s="15">
        <v>44545</v>
      </c>
      <c r="G1238" s="28">
        <v>95.5</v>
      </c>
      <c r="H1238" s="15">
        <v>45643</v>
      </c>
      <c r="I1238">
        <v>95.666700000000006</v>
      </c>
      <c r="J1238">
        <v>30000</v>
      </c>
      <c r="K1238" s="28">
        <v>5.75</v>
      </c>
      <c r="L1238">
        <v>7.45</v>
      </c>
    </row>
    <row r="1239" spans="1:12" ht="15" customHeight="1" x14ac:dyDescent="0.2">
      <c r="A1239" s="28" t="s">
        <v>9</v>
      </c>
      <c r="B1239" s="2" t="s">
        <v>29</v>
      </c>
      <c r="C1239" s="30">
        <v>0.5</v>
      </c>
      <c r="D1239" s="28">
        <f>YEAR(TableauFlitrage[[#This Row],[Date_d_adjudication]])</f>
        <v>2021</v>
      </c>
      <c r="E1239" s="28">
        <f t="shared" si="20"/>
        <v>12</v>
      </c>
      <c r="F1239" s="15">
        <v>44552</v>
      </c>
      <c r="G1239" s="28">
        <v>96.643083000000004</v>
      </c>
      <c r="H1239" s="15">
        <v>44736</v>
      </c>
      <c r="I1239">
        <v>73.2</v>
      </c>
      <c r="J1239">
        <v>15000</v>
      </c>
      <c r="K1239" s="28">
        <v>6.6401000000000003</v>
      </c>
    </row>
    <row r="1240" spans="1:12" ht="15" customHeight="1" x14ac:dyDescent="0.2">
      <c r="A1240" s="28" t="s">
        <v>9</v>
      </c>
      <c r="B1240" t="s">
        <v>30</v>
      </c>
      <c r="C1240" s="30" t="s">
        <v>54</v>
      </c>
      <c r="D1240" s="28">
        <f>YEAR(TableauFlitrage[[#This Row],[Date_d_adjudication]])</f>
        <v>2021</v>
      </c>
      <c r="E1240" s="28">
        <f t="shared" si="20"/>
        <v>12</v>
      </c>
      <c r="F1240" s="15">
        <v>44552</v>
      </c>
      <c r="G1240" s="28">
        <v>90.2256</v>
      </c>
      <c r="H1240" s="15">
        <v>45636</v>
      </c>
      <c r="I1240">
        <v>98.051000000000002</v>
      </c>
      <c r="J1240">
        <v>20000</v>
      </c>
      <c r="K1240" s="28">
        <v>5.25</v>
      </c>
      <c r="L1240">
        <v>9.0399999999999991</v>
      </c>
    </row>
    <row r="1241" spans="1:12" ht="15" customHeight="1" x14ac:dyDescent="0.2">
      <c r="A1241" s="28" t="s">
        <v>11</v>
      </c>
      <c r="B1241" t="s">
        <v>30</v>
      </c>
      <c r="C1241" s="30" t="s">
        <v>54</v>
      </c>
      <c r="D1241" s="28">
        <f>YEAR(TableauFlitrage[[#This Row],[Date_d_adjudication]])</f>
        <v>2021</v>
      </c>
      <c r="E1241" s="28">
        <f t="shared" si="20"/>
        <v>12</v>
      </c>
      <c r="F1241" s="15">
        <v>44552</v>
      </c>
      <c r="G1241" s="28">
        <v>95</v>
      </c>
      <c r="H1241" s="15">
        <v>45650</v>
      </c>
      <c r="I1241">
        <v>36.5</v>
      </c>
      <c r="J1241">
        <v>30000</v>
      </c>
      <c r="K1241" s="28">
        <v>5.75</v>
      </c>
      <c r="L1241">
        <v>7.65</v>
      </c>
    </row>
    <row r="1242" spans="1:12" ht="15" customHeight="1" x14ac:dyDescent="0.2">
      <c r="A1242" s="28" t="s">
        <v>8</v>
      </c>
      <c r="B1242" s="2" t="s">
        <v>29</v>
      </c>
      <c r="C1242" s="30">
        <v>1</v>
      </c>
      <c r="D1242" s="28">
        <f>YEAR(TableauFlitrage[[#This Row],[Date_d_adjudication]])</f>
        <v>2021</v>
      </c>
      <c r="E1242" s="28">
        <f t="shared" si="20"/>
        <v>12</v>
      </c>
      <c r="F1242" s="15">
        <v>44559</v>
      </c>
      <c r="G1242" s="28">
        <v>93.029752999999999</v>
      </c>
      <c r="H1242" s="15">
        <v>44925</v>
      </c>
      <c r="I1242">
        <v>22.909099999999999</v>
      </c>
      <c r="J1242">
        <v>11000</v>
      </c>
      <c r="K1242" s="28">
        <v>7.4101999999999997</v>
      </c>
    </row>
    <row r="1243" spans="1:12" ht="15" customHeight="1" x14ac:dyDescent="0.2">
      <c r="A1243" s="28" t="s">
        <v>9</v>
      </c>
      <c r="B1243" s="2" t="s">
        <v>29</v>
      </c>
      <c r="C1243" s="30">
        <v>1</v>
      </c>
      <c r="D1243" s="28">
        <f>YEAR(TableauFlitrage[[#This Row],[Date_d_adjudication]])</f>
        <v>2021</v>
      </c>
      <c r="E1243" s="28">
        <f t="shared" si="20"/>
        <v>12</v>
      </c>
      <c r="F1243" s="15">
        <v>44559</v>
      </c>
      <c r="G1243" s="28">
        <v>93.433086000000003</v>
      </c>
      <c r="H1243" s="15">
        <v>44925</v>
      </c>
      <c r="I1243">
        <v>101.1</v>
      </c>
      <c r="J1243">
        <v>10000</v>
      </c>
      <c r="K1243" s="28">
        <v>6.9512</v>
      </c>
    </row>
    <row r="1244" spans="1:12" ht="15" customHeight="1" x14ac:dyDescent="0.2">
      <c r="A1244" s="28" t="s">
        <v>8</v>
      </c>
      <c r="B1244" s="2" t="s">
        <v>29</v>
      </c>
      <c r="C1244" s="30">
        <v>0.5</v>
      </c>
      <c r="D1244" s="28">
        <f>YEAR(TableauFlitrage[[#This Row],[Date_d_adjudication]])</f>
        <v>2022</v>
      </c>
      <c r="E1244" s="28">
        <f t="shared" si="20"/>
        <v>1</v>
      </c>
      <c r="F1244" s="15">
        <v>44566</v>
      </c>
      <c r="G1244" s="28">
        <v>96.825498999999994</v>
      </c>
      <c r="H1244" s="15">
        <v>44750</v>
      </c>
      <c r="I1244">
        <v>72.466700000000003</v>
      </c>
      <c r="J1244">
        <v>15000</v>
      </c>
      <c r="K1244" s="28">
        <v>6.4851000000000001</v>
      </c>
    </row>
    <row r="1245" spans="1:12" ht="15" customHeight="1" x14ac:dyDescent="0.2">
      <c r="A1245" s="28" t="s">
        <v>9</v>
      </c>
      <c r="B1245" s="2" t="s">
        <v>29</v>
      </c>
      <c r="C1245" s="30">
        <v>0.5</v>
      </c>
      <c r="D1245" s="28">
        <f>YEAR(TableauFlitrage[[#This Row],[Date_d_adjudication]])</f>
        <v>2022</v>
      </c>
      <c r="E1245" s="28">
        <f t="shared" ref="E1245:E1304" si="21">MONTH(F1245)</f>
        <v>1</v>
      </c>
      <c r="F1245" s="15">
        <v>44566</v>
      </c>
      <c r="G1245" s="28">
        <v>96.719864999999999</v>
      </c>
      <c r="H1245" s="15">
        <v>44750</v>
      </c>
      <c r="I1245">
        <v>36.083300000000001</v>
      </c>
      <c r="J1245">
        <v>12000</v>
      </c>
      <c r="K1245" s="28">
        <v>6.7081999999999997</v>
      </c>
    </row>
    <row r="1246" spans="1:12" ht="15" customHeight="1" x14ac:dyDescent="0.2">
      <c r="A1246" s="28" t="s">
        <v>11</v>
      </c>
      <c r="B1246" s="2" t="s">
        <v>29</v>
      </c>
      <c r="C1246" s="30">
        <v>0.5</v>
      </c>
      <c r="D1246" s="28">
        <f>YEAR(TableauFlitrage[[#This Row],[Date_d_adjudication]])</f>
        <v>2022</v>
      </c>
      <c r="E1246" s="28">
        <f t="shared" si="21"/>
        <v>1</v>
      </c>
      <c r="F1246" s="15">
        <v>44566</v>
      </c>
      <c r="G1246" s="28">
        <v>96.650223999999994</v>
      </c>
      <c r="H1246" s="15">
        <v>44750</v>
      </c>
      <c r="I1246">
        <v>40.299999999999997</v>
      </c>
      <c r="J1246">
        <v>10000</v>
      </c>
      <c r="K1246" s="28">
        <v>6.8555999999999999</v>
      </c>
    </row>
    <row r="1247" spans="1:12" ht="15" customHeight="1" x14ac:dyDescent="0.2">
      <c r="A1247" s="28" t="s">
        <v>8</v>
      </c>
      <c r="B1247" t="s">
        <v>30</v>
      </c>
      <c r="C1247" s="30" t="s">
        <v>54</v>
      </c>
      <c r="D1247" s="28">
        <f>YEAR(TableauFlitrage[[#This Row],[Date_d_adjudication]])</f>
        <v>2022</v>
      </c>
      <c r="E1247" s="28">
        <f t="shared" si="21"/>
        <v>1</v>
      </c>
      <c r="F1247" s="15">
        <v>44566</v>
      </c>
      <c r="G1247" s="28">
        <v>90.692800000000005</v>
      </c>
      <c r="H1247" s="15">
        <v>45664</v>
      </c>
      <c r="I1247">
        <v>72.631699999999995</v>
      </c>
      <c r="J1247">
        <v>10000</v>
      </c>
      <c r="K1247" s="28">
        <v>6</v>
      </c>
      <c r="L1247">
        <v>9.65</v>
      </c>
    </row>
    <row r="1248" spans="1:12" ht="15" customHeight="1" x14ac:dyDescent="0.2">
      <c r="A1248" s="28" t="s">
        <v>7</v>
      </c>
      <c r="B1248" s="2" t="s">
        <v>29</v>
      </c>
      <c r="C1248" s="30">
        <v>0.5</v>
      </c>
      <c r="D1248" s="28">
        <f>YEAR(TableauFlitrage[[#This Row],[Date_d_adjudication]])</f>
        <v>2022</v>
      </c>
      <c r="E1248" s="28">
        <f t="shared" si="21"/>
        <v>1</v>
      </c>
      <c r="F1248" s="15">
        <v>44571</v>
      </c>
      <c r="G1248" s="28">
        <v>98.533889000000002</v>
      </c>
      <c r="H1248" s="15">
        <v>44755</v>
      </c>
      <c r="I1248">
        <v>68</v>
      </c>
      <c r="J1248">
        <v>100000</v>
      </c>
      <c r="K1248" s="28">
        <v>2.9430999999999998</v>
      </c>
    </row>
    <row r="1249" spans="1:12" ht="15" customHeight="1" x14ac:dyDescent="0.2">
      <c r="A1249" s="28" t="s">
        <v>8</v>
      </c>
      <c r="B1249" s="2" t="s">
        <v>29</v>
      </c>
      <c r="C1249" s="30">
        <v>0.25</v>
      </c>
      <c r="D1249" s="28">
        <f>YEAR(TableauFlitrage[[#This Row],[Date_d_adjudication]])</f>
        <v>2022</v>
      </c>
      <c r="E1249" s="28">
        <f t="shared" si="21"/>
        <v>1</v>
      </c>
      <c r="F1249" s="15">
        <v>44572</v>
      </c>
      <c r="G1249" s="28">
        <v>98.492694999999998</v>
      </c>
      <c r="H1249" s="15">
        <v>44665</v>
      </c>
      <c r="I1249">
        <v>27</v>
      </c>
      <c r="J1249">
        <v>10000</v>
      </c>
      <c r="K1249" s="28">
        <v>6.0541999999999998</v>
      </c>
    </row>
    <row r="1250" spans="1:12" ht="15" customHeight="1" x14ac:dyDescent="0.2">
      <c r="A1250" s="28" t="s">
        <v>9</v>
      </c>
      <c r="B1250" s="2" t="s">
        <v>29</v>
      </c>
      <c r="C1250" s="30">
        <v>0.5</v>
      </c>
      <c r="D1250" s="28">
        <f>YEAR(TableauFlitrage[[#This Row],[Date_d_adjudication]])</f>
        <v>2022</v>
      </c>
      <c r="E1250" s="28">
        <f t="shared" si="21"/>
        <v>1</v>
      </c>
      <c r="F1250" s="15">
        <v>44573</v>
      </c>
      <c r="G1250" s="28">
        <v>96.572146000000004</v>
      </c>
      <c r="H1250" s="15">
        <v>44757</v>
      </c>
      <c r="I1250">
        <v>50.98</v>
      </c>
      <c r="J1250">
        <v>15000</v>
      </c>
      <c r="K1250" s="28">
        <v>7.0209999999999999</v>
      </c>
    </row>
    <row r="1251" spans="1:12" ht="15" customHeight="1" x14ac:dyDescent="0.2">
      <c r="A1251" s="28" t="s">
        <v>8</v>
      </c>
      <c r="B1251" s="2" t="s">
        <v>29</v>
      </c>
      <c r="C1251" s="30">
        <v>0.25</v>
      </c>
      <c r="D1251" s="28">
        <f>YEAR(TableauFlitrage[[#This Row],[Date_d_adjudication]])</f>
        <v>2022</v>
      </c>
      <c r="E1251" s="28">
        <f t="shared" si="21"/>
        <v>1</v>
      </c>
      <c r="F1251" s="15">
        <v>44579</v>
      </c>
      <c r="G1251" s="28">
        <v>98.530738999999997</v>
      </c>
      <c r="H1251" s="15">
        <v>44665</v>
      </c>
      <c r="I1251">
        <v>123.7167</v>
      </c>
      <c r="J1251">
        <v>6000</v>
      </c>
      <c r="K1251" s="28">
        <v>6.3906999999999998</v>
      </c>
    </row>
    <row r="1252" spans="1:12" ht="15" customHeight="1" x14ac:dyDescent="0.2">
      <c r="A1252" s="28" t="s">
        <v>10</v>
      </c>
      <c r="B1252" s="2" t="s">
        <v>29</v>
      </c>
      <c r="C1252" s="30">
        <v>1</v>
      </c>
      <c r="D1252" s="28">
        <f>YEAR(TableauFlitrage[[#This Row],[Date_d_adjudication]])</f>
        <v>2022</v>
      </c>
      <c r="E1252" s="28">
        <f t="shared" si="21"/>
        <v>1</v>
      </c>
      <c r="F1252" s="15">
        <v>44579</v>
      </c>
      <c r="G1252" s="28">
        <v>91.276770999999997</v>
      </c>
      <c r="H1252" s="15">
        <v>44945</v>
      </c>
      <c r="I1252">
        <v>98.924999999999997</v>
      </c>
      <c r="J1252">
        <v>20000</v>
      </c>
      <c r="K1252" s="28">
        <v>8.6273999999999997</v>
      </c>
    </row>
    <row r="1253" spans="1:12" ht="15" customHeight="1" x14ac:dyDescent="0.2">
      <c r="A1253" s="28" t="s">
        <v>9</v>
      </c>
      <c r="B1253" s="2" t="s">
        <v>29</v>
      </c>
      <c r="C1253" s="30">
        <v>0.5</v>
      </c>
      <c r="D1253" s="28">
        <f>YEAR(TableauFlitrage[[#This Row],[Date_d_adjudication]])</f>
        <v>2022</v>
      </c>
      <c r="E1253" s="28">
        <f t="shared" si="21"/>
        <v>1</v>
      </c>
      <c r="F1253" s="15">
        <v>44580</v>
      </c>
      <c r="G1253" s="28">
        <v>98.242464999999996</v>
      </c>
      <c r="H1253" s="15">
        <v>44680</v>
      </c>
      <c r="I1253">
        <v>100</v>
      </c>
      <c r="J1253">
        <v>8000</v>
      </c>
      <c r="K1253" s="28">
        <v>6.4562999999999997</v>
      </c>
    </row>
    <row r="1254" spans="1:12" ht="15" customHeight="1" x14ac:dyDescent="0.2">
      <c r="A1254" s="28" t="s">
        <v>9</v>
      </c>
      <c r="B1254" s="2" t="s">
        <v>29</v>
      </c>
      <c r="C1254" s="30">
        <v>1</v>
      </c>
      <c r="D1254" s="28">
        <f>YEAR(TableauFlitrage[[#This Row],[Date_d_adjudication]])</f>
        <v>2022</v>
      </c>
      <c r="E1254" s="28">
        <f t="shared" si="21"/>
        <v>1</v>
      </c>
      <c r="F1254" s="15">
        <v>44580</v>
      </c>
      <c r="G1254" s="28">
        <v>93.146427000000003</v>
      </c>
      <c r="H1254" s="15">
        <v>44946</v>
      </c>
      <c r="I1254">
        <v>101.24550000000001</v>
      </c>
      <c r="J1254">
        <v>11000</v>
      </c>
      <c r="K1254" s="28">
        <v>6.7782999999999998</v>
      </c>
    </row>
    <row r="1255" spans="1:12" ht="15" customHeight="1" x14ac:dyDescent="0.2">
      <c r="A1255" s="28" t="s">
        <v>8</v>
      </c>
      <c r="B1255" t="s">
        <v>30</v>
      </c>
      <c r="C1255" s="30" t="s">
        <v>54</v>
      </c>
      <c r="D1255" s="28">
        <f>YEAR(TableauFlitrage[[#This Row],[Date_d_adjudication]])</f>
        <v>2022</v>
      </c>
      <c r="E1255" s="28">
        <f t="shared" si="21"/>
        <v>1</v>
      </c>
      <c r="F1255" s="15">
        <v>44580</v>
      </c>
      <c r="G1255" s="28">
        <v>92.822900000000004</v>
      </c>
      <c r="H1255" s="15">
        <v>45664</v>
      </c>
      <c r="I1255">
        <v>135.5333</v>
      </c>
      <c r="J1255">
        <v>15000</v>
      </c>
      <c r="K1255" s="28">
        <v>6</v>
      </c>
      <c r="L1255">
        <v>8.77</v>
      </c>
    </row>
    <row r="1256" spans="1:12" ht="15" customHeight="1" x14ac:dyDescent="0.2">
      <c r="A1256" s="28" t="s">
        <v>9</v>
      </c>
      <c r="B1256" t="s">
        <v>30</v>
      </c>
      <c r="C1256" s="30" t="s">
        <v>54</v>
      </c>
      <c r="D1256" s="28">
        <f>YEAR(TableauFlitrage[[#This Row],[Date_d_adjudication]])</f>
        <v>2022</v>
      </c>
      <c r="E1256" s="28">
        <f t="shared" si="21"/>
        <v>1</v>
      </c>
      <c r="F1256" s="15">
        <v>44580</v>
      </c>
      <c r="G1256" s="28">
        <v>89.5428</v>
      </c>
      <c r="H1256" s="15">
        <v>45678</v>
      </c>
      <c r="I1256">
        <v>182.10239999999999</v>
      </c>
      <c r="J1256">
        <v>25000</v>
      </c>
      <c r="K1256" s="28">
        <v>5.5</v>
      </c>
      <c r="L1256">
        <v>9.59</v>
      </c>
    </row>
    <row r="1257" spans="1:12" ht="15" customHeight="1" x14ac:dyDescent="0.2">
      <c r="A1257" s="28" t="s">
        <v>8</v>
      </c>
      <c r="B1257" s="2" t="s">
        <v>29</v>
      </c>
      <c r="C1257" s="30">
        <v>0.5</v>
      </c>
      <c r="D1257" s="28">
        <f>YEAR(TableauFlitrage[[#This Row],[Date_d_adjudication]])</f>
        <v>2022</v>
      </c>
      <c r="E1257" s="28">
        <f t="shared" si="21"/>
        <v>1</v>
      </c>
      <c r="F1257" s="15">
        <v>44586</v>
      </c>
      <c r="G1257" s="28">
        <v>96.515546000000001</v>
      </c>
      <c r="H1257" s="15">
        <v>44770</v>
      </c>
      <c r="I1257">
        <v>26.3</v>
      </c>
      <c r="J1257">
        <v>11000</v>
      </c>
      <c r="K1257" s="28">
        <v>7.1412000000000004</v>
      </c>
    </row>
    <row r="1258" spans="1:12" ht="15" customHeight="1" x14ac:dyDescent="0.2">
      <c r="A1258" s="28" t="s">
        <v>8</v>
      </c>
      <c r="B1258" t="s">
        <v>30</v>
      </c>
      <c r="C1258" s="30" t="s">
        <v>54</v>
      </c>
      <c r="D1258" s="28">
        <f>YEAR(TableauFlitrage[[#This Row],[Date_d_adjudication]])</f>
        <v>2022</v>
      </c>
      <c r="E1258" s="28">
        <f t="shared" si="21"/>
        <v>1</v>
      </c>
      <c r="F1258" s="15">
        <v>44586</v>
      </c>
      <c r="G1258" s="28">
        <v>90.887500000000003</v>
      </c>
      <c r="H1258" s="15">
        <v>46414</v>
      </c>
      <c r="I1258">
        <v>85.466700000000003</v>
      </c>
      <c r="J1258">
        <v>30000</v>
      </c>
      <c r="K1258" s="28">
        <v>6</v>
      </c>
      <c r="L1258">
        <v>9.57</v>
      </c>
    </row>
    <row r="1259" spans="1:12" ht="15" customHeight="1" x14ac:dyDescent="0.2">
      <c r="A1259" s="28" t="s">
        <v>9</v>
      </c>
      <c r="B1259" s="2" t="s">
        <v>29</v>
      </c>
      <c r="C1259" s="30">
        <v>0.5</v>
      </c>
      <c r="D1259" s="28">
        <f>YEAR(TableauFlitrage[[#This Row],[Date_d_adjudication]])</f>
        <v>2022</v>
      </c>
      <c r="E1259" s="28">
        <f t="shared" si="21"/>
        <v>1</v>
      </c>
      <c r="F1259" s="15">
        <v>44587</v>
      </c>
      <c r="G1259" s="28">
        <v>97.221502999999998</v>
      </c>
      <c r="H1259" s="15">
        <v>44750</v>
      </c>
      <c r="I1259">
        <v>150.9</v>
      </c>
      <c r="J1259">
        <v>8000</v>
      </c>
      <c r="K1259" s="28">
        <v>6.3902999999999999</v>
      </c>
    </row>
    <row r="1260" spans="1:12" ht="15" customHeight="1" x14ac:dyDescent="0.2">
      <c r="A1260" s="28" t="s">
        <v>9</v>
      </c>
      <c r="B1260" t="s">
        <v>30</v>
      </c>
      <c r="C1260" s="30" t="s">
        <v>54</v>
      </c>
      <c r="D1260" s="28">
        <f>YEAR(TableauFlitrage[[#This Row],[Date_d_adjudication]])</f>
        <v>2022</v>
      </c>
      <c r="E1260" s="28">
        <f t="shared" si="21"/>
        <v>1</v>
      </c>
      <c r="F1260" s="15">
        <v>44587</v>
      </c>
      <c r="G1260" s="28">
        <v>91.278300000000002</v>
      </c>
      <c r="H1260" s="15">
        <v>45678</v>
      </c>
      <c r="I1260">
        <v>242.53333000000001</v>
      </c>
      <c r="J1260">
        <v>15000</v>
      </c>
      <c r="K1260" s="28">
        <v>5.5</v>
      </c>
      <c r="L1260">
        <v>8.8800000000000008</v>
      </c>
    </row>
    <row r="1261" spans="1:12" ht="15" customHeight="1" x14ac:dyDescent="0.2">
      <c r="A1261" s="28" t="s">
        <v>7</v>
      </c>
      <c r="B1261" s="2" t="s">
        <v>29</v>
      </c>
      <c r="C1261" s="30">
        <v>0.5</v>
      </c>
      <c r="D1261" s="28">
        <f>YEAR(TableauFlitrage[[#This Row],[Date_d_adjudication]])</f>
        <v>2022</v>
      </c>
      <c r="E1261" s="28">
        <f t="shared" si="21"/>
        <v>1</v>
      </c>
      <c r="F1261" s="15">
        <v>44592</v>
      </c>
      <c r="G1261" s="28">
        <v>98.703056000000004</v>
      </c>
      <c r="H1261" s="15">
        <v>44755</v>
      </c>
      <c r="I1261">
        <v>15</v>
      </c>
      <c r="J1261">
        <v>100000</v>
      </c>
      <c r="K1261" s="28">
        <v>2.9380999999999999</v>
      </c>
    </row>
    <row r="1262" spans="1:12" ht="15" customHeight="1" x14ac:dyDescent="0.2">
      <c r="A1262" s="28" t="s">
        <v>8</v>
      </c>
      <c r="B1262" s="2" t="s">
        <v>29</v>
      </c>
      <c r="C1262" s="30">
        <v>0.5</v>
      </c>
      <c r="D1262" s="28">
        <f>YEAR(TableauFlitrage[[#This Row],[Date_d_adjudication]])</f>
        <v>2022</v>
      </c>
      <c r="E1262" s="28">
        <f t="shared" si="21"/>
        <v>2</v>
      </c>
      <c r="F1262" s="15">
        <v>44593</v>
      </c>
      <c r="G1262" s="28">
        <v>96.880482999999998</v>
      </c>
      <c r="H1262" s="15">
        <v>44770</v>
      </c>
      <c r="I1262">
        <v>119.61669999999999</v>
      </c>
      <c r="J1262">
        <v>12000</v>
      </c>
      <c r="K1262" s="28">
        <v>6.6238999999999999</v>
      </c>
    </row>
    <row r="1263" spans="1:12" ht="15" customHeight="1" x14ac:dyDescent="0.2">
      <c r="A1263" s="28" t="s">
        <v>8</v>
      </c>
      <c r="B1263" s="2" t="s">
        <v>29</v>
      </c>
      <c r="C1263" s="30">
        <v>0.25</v>
      </c>
      <c r="D1263" s="28">
        <f>YEAR(TableauFlitrage[[#This Row],[Date_d_adjudication]])</f>
        <v>2022</v>
      </c>
      <c r="E1263" s="28">
        <f t="shared" si="21"/>
        <v>2</v>
      </c>
      <c r="F1263" s="15">
        <v>44593</v>
      </c>
      <c r="G1263" s="28">
        <v>98.388542000000001</v>
      </c>
      <c r="H1263" s="15">
        <v>44686</v>
      </c>
      <c r="I1263">
        <v>80</v>
      </c>
      <c r="J1263">
        <v>5000</v>
      </c>
      <c r="K1263" s="28">
        <v>6.4794</v>
      </c>
    </row>
    <row r="1264" spans="1:12" ht="15" customHeight="1" x14ac:dyDescent="0.2">
      <c r="A1264" s="28" t="s">
        <v>10</v>
      </c>
      <c r="B1264" s="2" t="s">
        <v>29</v>
      </c>
      <c r="C1264" s="30">
        <v>1</v>
      </c>
      <c r="D1264" s="28">
        <f>YEAR(TableauFlitrage[[#This Row],[Date_d_adjudication]])</f>
        <v>2022</v>
      </c>
      <c r="E1264" s="28">
        <f t="shared" si="21"/>
        <v>2</v>
      </c>
      <c r="F1264" s="15">
        <v>44593</v>
      </c>
      <c r="G1264" s="28">
        <v>91.716324</v>
      </c>
      <c r="H1264" s="15">
        <v>44959</v>
      </c>
      <c r="I1264">
        <v>216.5882</v>
      </c>
      <c r="J1264">
        <v>17000</v>
      </c>
      <c r="K1264" s="28">
        <v>8.5</v>
      </c>
    </row>
    <row r="1265" spans="1:12" ht="15" customHeight="1" x14ac:dyDescent="0.2">
      <c r="A1265" s="28" t="s">
        <v>9</v>
      </c>
      <c r="B1265" s="2" t="s">
        <v>29</v>
      </c>
      <c r="C1265" s="30">
        <v>0.5</v>
      </c>
      <c r="D1265" s="28">
        <f>YEAR(TableauFlitrage[[#This Row],[Date_d_adjudication]])</f>
        <v>2022</v>
      </c>
      <c r="E1265" s="28">
        <f t="shared" si="21"/>
        <v>2</v>
      </c>
      <c r="F1265" s="15">
        <v>44594</v>
      </c>
      <c r="G1265" s="28">
        <v>96.882238999999998</v>
      </c>
      <c r="H1265" s="15">
        <v>44778</v>
      </c>
      <c r="I1265">
        <v>240.41</v>
      </c>
      <c r="J1265">
        <v>10000</v>
      </c>
      <c r="K1265" s="28">
        <v>6.3654999999999999</v>
      </c>
    </row>
    <row r="1266" spans="1:12" ht="15" customHeight="1" x14ac:dyDescent="0.2">
      <c r="A1266" s="28" t="s">
        <v>7</v>
      </c>
      <c r="B1266" s="2" t="s">
        <v>29</v>
      </c>
      <c r="C1266" s="30">
        <v>0.5</v>
      </c>
      <c r="D1266" s="28">
        <f>YEAR(TableauFlitrage[[#This Row],[Date_d_adjudication]])</f>
        <v>2022</v>
      </c>
      <c r="E1266" s="28">
        <f t="shared" si="21"/>
        <v>2</v>
      </c>
      <c r="F1266" s="15">
        <v>44599</v>
      </c>
      <c r="G1266" s="28">
        <v>98.723978000000002</v>
      </c>
      <c r="H1266" s="15">
        <v>44783</v>
      </c>
      <c r="I1266">
        <v>72.5</v>
      </c>
      <c r="J1266">
        <v>20000</v>
      </c>
      <c r="K1266" s="28">
        <v>2.5566</v>
      </c>
    </row>
    <row r="1267" spans="1:12" ht="15" customHeight="1" x14ac:dyDescent="0.2">
      <c r="A1267" s="28" t="s">
        <v>8</v>
      </c>
      <c r="B1267" s="2" t="s">
        <v>29</v>
      </c>
      <c r="C1267" s="30">
        <v>0.5</v>
      </c>
      <c r="D1267" s="28">
        <f>YEAR(TableauFlitrage[[#This Row],[Date_d_adjudication]])</f>
        <v>2022</v>
      </c>
      <c r="E1267" s="28">
        <f t="shared" si="21"/>
        <v>2</v>
      </c>
      <c r="F1267" s="15">
        <v>44600</v>
      </c>
      <c r="G1267" s="28">
        <v>96.550392000000002</v>
      </c>
      <c r="H1267" s="15">
        <v>44784</v>
      </c>
      <c r="I1267">
        <v>102.02</v>
      </c>
      <c r="J1267">
        <v>10000</v>
      </c>
      <c r="K1267" s="28">
        <v>7.0671999999999997</v>
      </c>
    </row>
    <row r="1268" spans="1:12" ht="15" customHeight="1" x14ac:dyDescent="0.2">
      <c r="A1268" s="28" t="s">
        <v>8</v>
      </c>
      <c r="B1268" t="s">
        <v>30</v>
      </c>
      <c r="C1268" s="30" t="s">
        <v>53</v>
      </c>
      <c r="D1268" s="28">
        <f>YEAR(TableauFlitrage[[#This Row],[Date_d_adjudication]])</f>
        <v>2022</v>
      </c>
      <c r="E1268" s="28">
        <f t="shared" si="21"/>
        <v>2</v>
      </c>
      <c r="F1268" s="15">
        <v>44600</v>
      </c>
      <c r="G1268" s="28">
        <v>91.809899999999999</v>
      </c>
      <c r="H1268" s="15">
        <v>45332</v>
      </c>
      <c r="I1268">
        <v>149.80289999999999</v>
      </c>
      <c r="J1268">
        <v>15000</v>
      </c>
      <c r="K1268" s="28">
        <v>5</v>
      </c>
      <c r="L1268">
        <v>9.6</v>
      </c>
    </row>
    <row r="1269" spans="1:12" ht="15" customHeight="1" x14ac:dyDescent="0.2">
      <c r="A1269" s="28" t="s">
        <v>9</v>
      </c>
      <c r="B1269" s="2" t="s">
        <v>29</v>
      </c>
      <c r="C1269" s="30">
        <v>0.5</v>
      </c>
      <c r="D1269" s="28">
        <f>YEAR(TableauFlitrage[[#This Row],[Date_d_adjudication]])</f>
        <v>2022</v>
      </c>
      <c r="E1269" s="28">
        <f t="shared" si="21"/>
        <v>2</v>
      </c>
      <c r="F1269" s="15">
        <v>44601</v>
      </c>
      <c r="G1269" s="28">
        <v>96.961399999999998</v>
      </c>
      <c r="H1269" s="15">
        <v>44783</v>
      </c>
      <c r="I1269">
        <v>150.6833</v>
      </c>
      <c r="J1269">
        <v>12000</v>
      </c>
      <c r="K1269" s="28">
        <v>6.1988000000000003</v>
      </c>
    </row>
    <row r="1270" spans="1:12" ht="15" customHeight="1" x14ac:dyDescent="0.2">
      <c r="A1270" s="28" t="s">
        <v>7</v>
      </c>
      <c r="B1270" t="s">
        <v>30</v>
      </c>
      <c r="C1270" s="30" t="s">
        <v>61</v>
      </c>
      <c r="D1270" s="28">
        <f>YEAR(TableauFlitrage[[#This Row],[Date_d_adjudication]])</f>
        <v>2022</v>
      </c>
      <c r="E1270" s="28">
        <f t="shared" si="21"/>
        <v>2</v>
      </c>
      <c r="F1270" s="15">
        <v>44606</v>
      </c>
      <c r="G1270" s="28">
        <v>100</v>
      </c>
      <c r="H1270" s="15">
        <v>48260</v>
      </c>
      <c r="I1270">
        <v>82.083299999999994</v>
      </c>
      <c r="J1270">
        <v>12000</v>
      </c>
      <c r="K1270" s="28">
        <v>5</v>
      </c>
      <c r="L1270">
        <v>5</v>
      </c>
    </row>
    <row r="1271" spans="1:12" ht="15" customHeight="1" x14ac:dyDescent="0.2">
      <c r="A1271" s="28" t="s">
        <v>8</v>
      </c>
      <c r="B1271" s="2" t="s">
        <v>29</v>
      </c>
      <c r="C1271" s="30">
        <v>1</v>
      </c>
      <c r="D1271" s="28">
        <f>YEAR(TableauFlitrage[[#This Row],[Date_d_adjudication]])</f>
        <v>2022</v>
      </c>
      <c r="E1271" s="28">
        <f t="shared" si="21"/>
        <v>2</v>
      </c>
      <c r="F1271" s="15">
        <v>44607</v>
      </c>
      <c r="G1271" s="28">
        <v>93.117690999999994</v>
      </c>
      <c r="H1271" s="15">
        <v>44973</v>
      </c>
      <c r="I1271">
        <v>32.840000000000003</v>
      </c>
      <c r="J1271">
        <v>100000</v>
      </c>
      <c r="K1271" s="28">
        <v>7.3098000000000001</v>
      </c>
    </row>
    <row r="1272" spans="1:12" ht="15" customHeight="1" x14ac:dyDescent="0.2">
      <c r="A1272" s="28" t="s">
        <v>9</v>
      </c>
      <c r="B1272" s="2" t="s">
        <v>29</v>
      </c>
      <c r="C1272" s="30">
        <v>0.25</v>
      </c>
      <c r="D1272" s="28">
        <f>YEAR(TableauFlitrage[[#This Row],[Date_d_adjudication]])</f>
        <v>2022</v>
      </c>
      <c r="E1272" s="28">
        <f t="shared" si="21"/>
        <v>2</v>
      </c>
      <c r="F1272" s="15">
        <v>44608</v>
      </c>
      <c r="G1272" s="28">
        <v>98.527940999999998</v>
      </c>
      <c r="H1272" s="15">
        <v>44701</v>
      </c>
      <c r="I1272">
        <v>142.83529999999999</v>
      </c>
      <c r="J1272">
        <v>8500</v>
      </c>
      <c r="K1272" s="28">
        <v>5.9104999999999999</v>
      </c>
    </row>
    <row r="1273" spans="1:12" ht="15" customHeight="1" x14ac:dyDescent="0.2">
      <c r="A1273" s="28" t="s">
        <v>9</v>
      </c>
      <c r="B1273" t="s">
        <v>30</v>
      </c>
      <c r="C1273" s="30" t="s">
        <v>55</v>
      </c>
      <c r="D1273" s="28">
        <f>YEAR(TableauFlitrage[[#This Row],[Date_d_adjudication]])</f>
        <v>2022</v>
      </c>
      <c r="E1273" s="28">
        <f t="shared" si="21"/>
        <v>2</v>
      </c>
      <c r="F1273" s="15">
        <v>44608</v>
      </c>
      <c r="G1273" s="28">
        <v>90.103099999999998</v>
      </c>
      <c r="H1273" s="15">
        <v>46436</v>
      </c>
      <c r="I1273">
        <v>71.215999999999994</v>
      </c>
      <c r="J1273">
        <v>12500</v>
      </c>
      <c r="K1273" s="28">
        <v>6.25</v>
      </c>
      <c r="L1273">
        <v>8.74</v>
      </c>
    </row>
    <row r="1274" spans="1:12" ht="15" customHeight="1" x14ac:dyDescent="0.2">
      <c r="A1274" s="28" t="s">
        <v>9</v>
      </c>
      <c r="B1274" t="s">
        <v>30</v>
      </c>
      <c r="C1274" s="30" t="s">
        <v>54</v>
      </c>
      <c r="D1274" s="28">
        <f>YEAR(TableauFlitrage[[#This Row],[Date_d_adjudication]])</f>
        <v>2022</v>
      </c>
      <c r="E1274" s="28">
        <f t="shared" si="21"/>
        <v>2</v>
      </c>
      <c r="F1274" s="15">
        <v>44608</v>
      </c>
      <c r="G1274" s="28">
        <v>91.522599999999997</v>
      </c>
      <c r="H1274" s="15">
        <v>45706</v>
      </c>
      <c r="I1274">
        <v>176.04939999999999</v>
      </c>
      <c r="J1274">
        <v>22500</v>
      </c>
      <c r="K1274" s="28">
        <v>5.25</v>
      </c>
      <c r="L1274">
        <v>8.51</v>
      </c>
    </row>
    <row r="1275" spans="1:12" ht="15" customHeight="1" x14ac:dyDescent="0.2">
      <c r="A1275" s="28" t="s">
        <v>7</v>
      </c>
      <c r="B1275" s="2" t="s">
        <v>29</v>
      </c>
      <c r="C1275" s="30">
        <v>0.5</v>
      </c>
      <c r="D1275" s="28">
        <f>YEAR(TableauFlitrage[[#This Row],[Date_d_adjudication]])</f>
        <v>2022</v>
      </c>
      <c r="E1275" s="28">
        <f t="shared" si="21"/>
        <v>2</v>
      </c>
      <c r="F1275" s="15">
        <v>44613</v>
      </c>
      <c r="G1275" s="28">
        <v>98.560333</v>
      </c>
      <c r="H1275" s="15">
        <v>44797</v>
      </c>
      <c r="I1275">
        <v>87.4</v>
      </c>
      <c r="J1275">
        <v>15000</v>
      </c>
      <c r="K1275" s="28">
        <v>2.8893</v>
      </c>
    </row>
    <row r="1276" spans="1:12" ht="15" customHeight="1" x14ac:dyDescent="0.2">
      <c r="A1276" s="28" t="s">
        <v>10</v>
      </c>
      <c r="B1276" s="2" t="s">
        <v>29</v>
      </c>
      <c r="C1276" s="30">
        <v>1</v>
      </c>
      <c r="D1276" s="28">
        <f>YEAR(TableauFlitrage[[#This Row],[Date_d_adjudication]])</f>
        <v>2022</v>
      </c>
      <c r="E1276" s="28">
        <f t="shared" si="21"/>
        <v>2</v>
      </c>
      <c r="F1276" s="15">
        <v>44614</v>
      </c>
      <c r="G1276" s="28">
        <v>92.416667000000004</v>
      </c>
      <c r="H1276" s="15">
        <v>44980</v>
      </c>
      <c r="I1276">
        <v>140.255</v>
      </c>
      <c r="J1276">
        <v>20000</v>
      </c>
      <c r="K1276" s="28">
        <v>8.1153999999999993</v>
      </c>
    </row>
    <row r="1277" spans="1:12" ht="15" customHeight="1" x14ac:dyDescent="0.2">
      <c r="A1277" s="28" t="s">
        <v>8</v>
      </c>
      <c r="B1277" t="s">
        <v>30</v>
      </c>
      <c r="C1277" s="30" t="s">
        <v>54</v>
      </c>
      <c r="D1277" s="28">
        <f>YEAR(TableauFlitrage[[#This Row],[Date_d_adjudication]])</f>
        <v>2022</v>
      </c>
      <c r="E1277" s="28">
        <f t="shared" si="21"/>
        <v>2</v>
      </c>
      <c r="F1277" s="15">
        <v>44614</v>
      </c>
      <c r="G1277" s="28">
        <v>92.000299999999996</v>
      </c>
      <c r="H1277" s="15">
        <v>45712</v>
      </c>
      <c r="I1277">
        <v>190.6773</v>
      </c>
      <c r="J1277">
        <v>10000</v>
      </c>
      <c r="K1277" s="28">
        <v>6</v>
      </c>
      <c r="L1277">
        <v>9.11</v>
      </c>
    </row>
    <row r="1278" spans="1:12" ht="15" customHeight="1" x14ac:dyDescent="0.2">
      <c r="A1278" s="28" t="s">
        <v>8</v>
      </c>
      <c r="B1278" t="s">
        <v>30</v>
      </c>
      <c r="C1278" s="30" t="s">
        <v>55</v>
      </c>
      <c r="D1278" s="28">
        <f>YEAR(TableauFlitrage[[#This Row],[Date_d_adjudication]])</f>
        <v>2022</v>
      </c>
      <c r="E1278" s="28">
        <f t="shared" si="21"/>
        <v>2</v>
      </c>
      <c r="F1278" s="15">
        <v>44614</v>
      </c>
      <c r="G1278" s="28">
        <v>90.055499999999995</v>
      </c>
      <c r="H1278" s="15">
        <v>46442</v>
      </c>
      <c r="I1278">
        <v>111.5067</v>
      </c>
      <c r="J1278">
        <v>15000</v>
      </c>
      <c r="K1278" s="28">
        <v>6.5</v>
      </c>
      <c r="L1278">
        <v>9.01</v>
      </c>
    </row>
    <row r="1279" spans="1:12" ht="15" customHeight="1" x14ac:dyDescent="0.2">
      <c r="A1279" s="28" t="s">
        <v>9</v>
      </c>
      <c r="B1279" s="2" t="s">
        <v>29</v>
      </c>
      <c r="C1279" s="30">
        <v>0.5</v>
      </c>
      <c r="D1279" s="28">
        <f>YEAR(TableauFlitrage[[#This Row],[Date_d_adjudication]])</f>
        <v>2022</v>
      </c>
      <c r="E1279" s="28">
        <f t="shared" si="21"/>
        <v>2</v>
      </c>
      <c r="F1279" s="15">
        <v>44615</v>
      </c>
      <c r="G1279" s="28">
        <v>96.932625000000002</v>
      </c>
      <c r="H1279" s="15">
        <v>44799</v>
      </c>
      <c r="I1279">
        <v>142.29409999999999</v>
      </c>
      <c r="J1279">
        <v>8500</v>
      </c>
      <c r="K1279" s="28">
        <v>6.2592999999999996</v>
      </c>
    </row>
    <row r="1280" spans="1:12" ht="15" customHeight="1" x14ac:dyDescent="0.2">
      <c r="A1280" s="28" t="s">
        <v>9</v>
      </c>
      <c r="B1280" t="s">
        <v>30</v>
      </c>
      <c r="C1280" s="30" t="s">
        <v>55</v>
      </c>
      <c r="D1280" s="28">
        <f>YEAR(TableauFlitrage[[#This Row],[Date_d_adjudication]])</f>
        <v>2022</v>
      </c>
      <c r="E1280" s="28">
        <f t="shared" si="21"/>
        <v>2</v>
      </c>
      <c r="F1280" s="15">
        <v>44615</v>
      </c>
      <c r="G1280" s="28">
        <v>90.308800000000005</v>
      </c>
      <c r="H1280" s="15">
        <v>46436</v>
      </c>
      <c r="I1280">
        <v>186.447</v>
      </c>
      <c r="J1280">
        <v>10000</v>
      </c>
      <c r="K1280" s="28">
        <v>6.25</v>
      </c>
      <c r="L1280">
        <v>8.68</v>
      </c>
    </row>
    <row r="1281" spans="1:12" ht="15" customHeight="1" x14ac:dyDescent="0.2">
      <c r="A1281" s="28" t="s">
        <v>8</v>
      </c>
      <c r="B1281" t="s">
        <v>30</v>
      </c>
      <c r="C1281" s="30" t="s">
        <v>53</v>
      </c>
      <c r="D1281" s="28">
        <f>YEAR(TableauFlitrage[[#This Row],[Date_d_adjudication]])</f>
        <v>2022</v>
      </c>
      <c r="E1281" s="28">
        <f t="shared" si="21"/>
        <v>3</v>
      </c>
      <c r="F1281" s="15">
        <v>44621</v>
      </c>
      <c r="G1281" s="28">
        <v>93.134100000000004</v>
      </c>
      <c r="H1281" s="15">
        <v>45332</v>
      </c>
      <c r="I1281">
        <v>114.9222</v>
      </c>
      <c r="J1281">
        <v>10000</v>
      </c>
      <c r="K1281" s="28">
        <v>5</v>
      </c>
      <c r="L1281">
        <v>8.82</v>
      </c>
    </row>
    <row r="1282" spans="1:12" ht="15" customHeight="1" x14ac:dyDescent="0.2">
      <c r="A1282" s="28" t="s">
        <v>8</v>
      </c>
      <c r="B1282" t="s">
        <v>30</v>
      </c>
      <c r="C1282" s="30" t="s">
        <v>54</v>
      </c>
      <c r="D1282" s="28">
        <f>YEAR(TableauFlitrage[[#This Row],[Date_d_adjudication]])</f>
        <v>2022</v>
      </c>
      <c r="E1282" s="28">
        <f t="shared" si="21"/>
        <v>3</v>
      </c>
      <c r="F1282" s="15">
        <v>44621</v>
      </c>
      <c r="G1282" s="28">
        <v>92.614900000000006</v>
      </c>
      <c r="H1282" s="15">
        <v>45712</v>
      </c>
      <c r="I1282">
        <v>97.8172</v>
      </c>
      <c r="J1282">
        <v>10000</v>
      </c>
      <c r="K1282" s="28">
        <v>6</v>
      </c>
      <c r="L1282">
        <v>8.86</v>
      </c>
    </row>
    <row r="1283" spans="1:12" ht="15" customHeight="1" x14ac:dyDescent="0.2">
      <c r="A1283" s="28" t="s">
        <v>8</v>
      </c>
      <c r="B1283" t="s">
        <v>30</v>
      </c>
      <c r="C1283" s="30" t="s">
        <v>55</v>
      </c>
      <c r="D1283" s="28">
        <f>YEAR(TableauFlitrage[[#This Row],[Date_d_adjudication]])</f>
        <v>2022</v>
      </c>
      <c r="E1283" s="28">
        <f t="shared" si="21"/>
        <v>3</v>
      </c>
      <c r="F1283" s="15">
        <v>44621</v>
      </c>
      <c r="G1283" s="28">
        <v>91.128200000000007</v>
      </c>
      <c r="H1283" s="15">
        <v>46442</v>
      </c>
      <c r="I1283">
        <v>91.305000000000007</v>
      </c>
      <c r="J1283">
        <v>5000</v>
      </c>
      <c r="K1283" s="28">
        <v>6.5</v>
      </c>
      <c r="L1283">
        <v>8.73</v>
      </c>
    </row>
    <row r="1284" spans="1:12" ht="15" customHeight="1" x14ac:dyDescent="0.2">
      <c r="A1284" s="28" t="s">
        <v>9</v>
      </c>
      <c r="B1284" s="2" t="s">
        <v>29</v>
      </c>
      <c r="C1284" s="30">
        <v>1</v>
      </c>
      <c r="D1284" s="28">
        <f>YEAR(TableauFlitrage[[#This Row],[Date_d_adjudication]])</f>
        <v>2022</v>
      </c>
      <c r="E1284" s="28">
        <f t="shared" si="21"/>
        <v>3</v>
      </c>
      <c r="F1284" s="15">
        <v>44622</v>
      </c>
      <c r="G1284" s="28">
        <v>93.815004000000002</v>
      </c>
      <c r="H1284" s="15">
        <v>44988</v>
      </c>
      <c r="I1284">
        <v>189.4941</v>
      </c>
      <c r="J1284">
        <v>8500</v>
      </c>
      <c r="K1284" s="28">
        <v>6.5202999999999998</v>
      </c>
    </row>
    <row r="1285" spans="1:12" ht="15" customHeight="1" x14ac:dyDescent="0.2">
      <c r="A1285" s="28" t="s">
        <v>11</v>
      </c>
      <c r="B1285" t="s">
        <v>30</v>
      </c>
      <c r="C1285" s="30" t="s">
        <v>53</v>
      </c>
      <c r="D1285" s="28">
        <f>YEAR(TableauFlitrage[[#This Row],[Date_d_adjudication]])</f>
        <v>2022</v>
      </c>
      <c r="E1285" s="28">
        <f t="shared" si="21"/>
        <v>3</v>
      </c>
      <c r="F1285" s="15">
        <v>44622</v>
      </c>
      <c r="G1285" s="28">
        <v>94.565299999999993</v>
      </c>
      <c r="H1285" s="15">
        <v>45355</v>
      </c>
      <c r="I1285">
        <v>27.366700000000002</v>
      </c>
      <c r="J1285">
        <v>15000</v>
      </c>
      <c r="K1285" s="28">
        <v>6.5</v>
      </c>
      <c r="L1285">
        <v>9.5500000000000007</v>
      </c>
    </row>
    <row r="1286" spans="1:12" ht="15" customHeight="1" x14ac:dyDescent="0.2">
      <c r="A1286" s="28" t="s">
        <v>7</v>
      </c>
      <c r="B1286" t="s">
        <v>30</v>
      </c>
      <c r="C1286" s="30" t="s">
        <v>55</v>
      </c>
      <c r="D1286" s="28">
        <f>YEAR(TableauFlitrage[[#This Row],[Date_d_adjudication]])</f>
        <v>2022</v>
      </c>
      <c r="E1286" s="28">
        <f t="shared" si="21"/>
        <v>3</v>
      </c>
      <c r="F1286" s="15">
        <v>44627</v>
      </c>
      <c r="G1286" s="28">
        <v>98.132599999999996</v>
      </c>
      <c r="H1286" s="15">
        <v>46455</v>
      </c>
      <c r="I1286">
        <v>96.724999999999994</v>
      </c>
      <c r="J1286">
        <v>60000</v>
      </c>
      <c r="K1286" s="28">
        <v>5.5</v>
      </c>
      <c r="L1286">
        <v>5.94</v>
      </c>
    </row>
    <row r="1287" spans="1:12" ht="15" customHeight="1" x14ac:dyDescent="0.2">
      <c r="A1287" s="28" t="s">
        <v>8</v>
      </c>
      <c r="B1287" s="2" t="s">
        <v>29</v>
      </c>
      <c r="C1287" s="30">
        <v>0.25</v>
      </c>
      <c r="D1287" s="28">
        <f>YEAR(TableauFlitrage[[#This Row],[Date_d_adjudication]])</f>
        <v>2022</v>
      </c>
      <c r="E1287" s="28">
        <f t="shared" si="21"/>
        <v>3</v>
      </c>
      <c r="F1287" s="15">
        <v>44628</v>
      </c>
      <c r="G1287" s="28">
        <v>98.375649999999993</v>
      </c>
      <c r="H1287" s="15">
        <v>44721</v>
      </c>
      <c r="I1287">
        <v>121.2</v>
      </c>
      <c r="J1287">
        <v>7000</v>
      </c>
      <c r="K1287" s="28">
        <v>6.5320999999999998</v>
      </c>
    </row>
    <row r="1288" spans="1:12" ht="15" customHeight="1" x14ac:dyDescent="0.2">
      <c r="A1288" s="28" t="s">
        <v>9</v>
      </c>
      <c r="B1288" s="2" t="s">
        <v>29</v>
      </c>
      <c r="C1288" s="30">
        <v>0.5</v>
      </c>
      <c r="D1288" s="28">
        <f>YEAR(TableauFlitrage[[#This Row],[Date_d_adjudication]])</f>
        <v>2022</v>
      </c>
      <c r="E1288" s="28">
        <f t="shared" si="21"/>
        <v>3</v>
      </c>
      <c r="F1288" s="15">
        <v>44629</v>
      </c>
      <c r="G1288" s="28">
        <v>97.112837999999996</v>
      </c>
      <c r="H1288" s="15">
        <v>44813</v>
      </c>
      <c r="I1288">
        <v>176.65219999999999</v>
      </c>
      <c r="J1288">
        <v>11500</v>
      </c>
      <c r="K1288" s="28">
        <v>5.8807</v>
      </c>
    </row>
    <row r="1289" spans="1:12" ht="15" customHeight="1" x14ac:dyDescent="0.2">
      <c r="A1289" s="28" t="s">
        <v>9</v>
      </c>
      <c r="B1289" t="s">
        <v>30</v>
      </c>
      <c r="C1289" s="30" t="s">
        <v>56</v>
      </c>
      <c r="D1289" s="28">
        <f>YEAR(TableauFlitrage[[#This Row],[Date_d_adjudication]])</f>
        <v>2022</v>
      </c>
      <c r="E1289" s="28">
        <f t="shared" si="21"/>
        <v>3</v>
      </c>
      <c r="F1289" s="15">
        <v>44629</v>
      </c>
      <c r="G1289" s="28">
        <v>90.6995</v>
      </c>
      <c r="H1289" s="15">
        <v>46092</v>
      </c>
      <c r="I1289">
        <v>76.487799999999993</v>
      </c>
      <c r="J1289">
        <v>25000</v>
      </c>
      <c r="K1289" s="28">
        <v>5.75</v>
      </c>
      <c r="L1289">
        <v>8.5399999999999991</v>
      </c>
    </row>
    <row r="1290" spans="1:12" ht="15" customHeight="1" x14ac:dyDescent="0.2">
      <c r="A1290" s="28" t="s">
        <v>9</v>
      </c>
      <c r="B1290" t="s">
        <v>30</v>
      </c>
      <c r="C1290" s="30" t="s">
        <v>55</v>
      </c>
      <c r="D1290" s="28">
        <f>YEAR(TableauFlitrage[[#This Row],[Date_d_adjudication]])</f>
        <v>2022</v>
      </c>
      <c r="E1290" s="28">
        <f t="shared" si="21"/>
        <v>3</v>
      </c>
      <c r="F1290" s="15">
        <v>44629</v>
      </c>
      <c r="G1290" s="28">
        <v>90.219499999999996</v>
      </c>
      <c r="H1290" s="15">
        <v>46457</v>
      </c>
      <c r="I1290">
        <v>81.631299999999996</v>
      </c>
      <c r="J1290">
        <v>15000</v>
      </c>
      <c r="K1290" s="28">
        <v>6.25</v>
      </c>
      <c r="L1290">
        <v>8.6999999999999993</v>
      </c>
    </row>
    <row r="1291" spans="1:12" ht="15" customHeight="1" x14ac:dyDescent="0.2">
      <c r="A1291" s="28" t="s">
        <v>11</v>
      </c>
      <c r="B1291" t="s">
        <v>30</v>
      </c>
      <c r="C1291" s="30" t="s">
        <v>53</v>
      </c>
      <c r="D1291" s="28">
        <f>YEAR(TableauFlitrage[[#This Row],[Date_d_adjudication]])</f>
        <v>2022</v>
      </c>
      <c r="E1291" s="28">
        <f t="shared" si="21"/>
        <v>3</v>
      </c>
      <c r="F1291" s="15">
        <v>44629</v>
      </c>
      <c r="G1291" s="28">
        <v>91.586200000000005</v>
      </c>
      <c r="H1291" s="15">
        <v>45362</v>
      </c>
      <c r="I1291">
        <v>73.599999999999994</v>
      </c>
      <c r="J1291">
        <v>10000</v>
      </c>
      <c r="K1291" s="28">
        <v>6</v>
      </c>
      <c r="L1291">
        <v>10.79</v>
      </c>
    </row>
    <row r="1292" spans="1:12" ht="15" customHeight="1" x14ac:dyDescent="0.2">
      <c r="A1292" s="28" t="s">
        <v>9</v>
      </c>
      <c r="B1292" s="2" t="s">
        <v>29</v>
      </c>
      <c r="C1292" s="30">
        <v>0.5</v>
      </c>
      <c r="D1292" s="28">
        <f>YEAR(TableauFlitrage[[#This Row],[Date_d_adjudication]])</f>
        <v>2022</v>
      </c>
      <c r="E1292" s="28">
        <f t="shared" si="21"/>
        <v>3</v>
      </c>
      <c r="F1292" s="15">
        <v>44636</v>
      </c>
      <c r="G1292" s="28">
        <v>97.112706000000003</v>
      </c>
      <c r="H1292" s="15">
        <v>44820</v>
      </c>
      <c r="I1292">
        <v>269.5478</v>
      </c>
      <c r="J1292">
        <v>11500</v>
      </c>
      <c r="K1292" s="28">
        <v>5.8808999999999996</v>
      </c>
    </row>
    <row r="1293" spans="1:12" ht="15" customHeight="1" x14ac:dyDescent="0.2">
      <c r="A1293" s="28" t="s">
        <v>11</v>
      </c>
      <c r="B1293" s="2" t="s">
        <v>29</v>
      </c>
      <c r="C1293" s="30">
        <v>0.5</v>
      </c>
      <c r="D1293" s="28">
        <f>YEAR(TableauFlitrage[[#This Row],[Date_d_adjudication]])</f>
        <v>2022</v>
      </c>
      <c r="E1293" s="28">
        <f t="shared" si="21"/>
        <v>3</v>
      </c>
      <c r="F1293" s="15">
        <v>44636</v>
      </c>
      <c r="G1293" s="28">
        <v>96.713888999999995</v>
      </c>
      <c r="H1293" s="15">
        <v>44820</v>
      </c>
      <c r="I1293">
        <v>179.33330000000001</v>
      </c>
      <c r="J1293">
        <v>15000</v>
      </c>
      <c r="K1293" s="28">
        <v>6.7209000000000003</v>
      </c>
    </row>
    <row r="1294" spans="1:12" ht="15" customHeight="1" x14ac:dyDescent="0.2">
      <c r="A1294" s="28" t="s">
        <v>7</v>
      </c>
      <c r="B1294" t="s">
        <v>30</v>
      </c>
      <c r="C1294" s="30" t="s">
        <v>56</v>
      </c>
      <c r="D1294" s="28">
        <f>YEAR(TableauFlitrage[[#This Row],[Date_d_adjudication]])</f>
        <v>2022</v>
      </c>
      <c r="E1294" s="28">
        <f t="shared" si="21"/>
        <v>3</v>
      </c>
      <c r="F1294" s="15">
        <v>44636</v>
      </c>
      <c r="G1294" s="28">
        <v>100</v>
      </c>
      <c r="H1294" s="15">
        <v>46097</v>
      </c>
      <c r="J1294">
        <v>25000</v>
      </c>
      <c r="K1294" s="28">
        <v>4.5</v>
      </c>
      <c r="L1294" t="s">
        <v>23</v>
      </c>
    </row>
    <row r="1295" spans="1:12" ht="15" customHeight="1" x14ac:dyDescent="0.2">
      <c r="A1295" s="28" t="s">
        <v>7</v>
      </c>
      <c r="B1295" t="s">
        <v>30</v>
      </c>
      <c r="C1295" s="30" t="s">
        <v>55</v>
      </c>
      <c r="D1295" s="28">
        <f>YEAR(TableauFlitrage[[#This Row],[Date_d_adjudication]])</f>
        <v>2022</v>
      </c>
      <c r="E1295" s="28">
        <f t="shared" si="21"/>
        <v>3</v>
      </c>
      <c r="F1295" s="15">
        <v>44636</v>
      </c>
      <c r="G1295" s="28">
        <v>100</v>
      </c>
      <c r="H1295" s="15">
        <v>46462</v>
      </c>
      <c r="J1295">
        <v>23000</v>
      </c>
      <c r="K1295" s="28">
        <v>5.25</v>
      </c>
      <c r="L1295" t="s">
        <v>23</v>
      </c>
    </row>
    <row r="1296" spans="1:12" ht="15" customHeight="1" x14ac:dyDescent="0.2">
      <c r="A1296" s="28" t="s">
        <v>9</v>
      </c>
      <c r="B1296" t="s">
        <v>30</v>
      </c>
      <c r="C1296" s="30" t="s">
        <v>61</v>
      </c>
      <c r="D1296" s="28">
        <f>YEAR(TableauFlitrage[[#This Row],[Date_d_adjudication]])</f>
        <v>2022</v>
      </c>
      <c r="E1296" s="28">
        <f t="shared" si="21"/>
        <v>3</v>
      </c>
      <c r="F1296" s="15">
        <v>44636</v>
      </c>
      <c r="G1296" s="28">
        <v>93.166200000000003</v>
      </c>
      <c r="H1296" s="15">
        <v>48073</v>
      </c>
      <c r="I1296">
        <v>75.500500000000002</v>
      </c>
      <c r="J1296">
        <v>10000</v>
      </c>
      <c r="K1296" s="28">
        <v>8.25</v>
      </c>
      <c r="L1296">
        <v>9.39</v>
      </c>
    </row>
    <row r="1297" spans="1:12" ht="15" customHeight="1" x14ac:dyDescent="0.2">
      <c r="A1297" s="28" t="s">
        <v>11</v>
      </c>
      <c r="B1297" t="s">
        <v>30</v>
      </c>
      <c r="C1297" s="30" t="s">
        <v>54</v>
      </c>
      <c r="D1297" s="28">
        <f>YEAR(TableauFlitrage[[#This Row],[Date_d_adjudication]])</f>
        <v>2022</v>
      </c>
      <c r="E1297" s="28">
        <f t="shared" si="21"/>
        <v>3</v>
      </c>
      <c r="F1297" s="15">
        <v>44636</v>
      </c>
      <c r="G1297" s="28">
        <v>92.5</v>
      </c>
      <c r="H1297" s="15">
        <v>45734</v>
      </c>
      <c r="I1297">
        <v>100</v>
      </c>
      <c r="J1297">
        <v>10000</v>
      </c>
      <c r="K1297" s="28">
        <v>6</v>
      </c>
      <c r="L1297">
        <v>8.9</v>
      </c>
    </row>
    <row r="1298" spans="1:12" ht="15" customHeight="1" x14ac:dyDescent="0.2">
      <c r="A1298" s="28" t="s">
        <v>7</v>
      </c>
      <c r="B1298" t="s">
        <v>30</v>
      </c>
      <c r="C1298" s="30" t="s">
        <v>55</v>
      </c>
      <c r="D1298" s="28">
        <f>YEAR(TableauFlitrage[[#This Row],[Date_d_adjudication]])</f>
        <v>2022</v>
      </c>
      <c r="E1298" s="28">
        <f t="shared" si="21"/>
        <v>3</v>
      </c>
      <c r="F1298" s="15">
        <v>44641</v>
      </c>
      <c r="G1298" s="28">
        <v>98.047899999999998</v>
      </c>
      <c r="H1298" s="15">
        <v>46455</v>
      </c>
      <c r="I1298">
        <v>86.331000000000003</v>
      </c>
      <c r="J1298">
        <v>40000</v>
      </c>
      <c r="K1298" s="28">
        <v>5.5</v>
      </c>
      <c r="L1298">
        <v>5.96</v>
      </c>
    </row>
    <row r="1299" spans="1:12" ht="15" customHeight="1" x14ac:dyDescent="0.2">
      <c r="A1299" s="28" t="s">
        <v>8</v>
      </c>
      <c r="B1299" s="2" t="s">
        <v>29</v>
      </c>
      <c r="C1299" s="30">
        <v>0.5</v>
      </c>
      <c r="D1299" s="28">
        <f>YEAR(TableauFlitrage[[#This Row],[Date_d_adjudication]])</f>
        <v>2022</v>
      </c>
      <c r="E1299" s="28">
        <f t="shared" si="21"/>
        <v>3</v>
      </c>
      <c r="F1299" s="15">
        <v>44642</v>
      </c>
      <c r="G1299" s="28">
        <v>96.736744999999999</v>
      </c>
      <c r="H1299" s="15">
        <v>44826</v>
      </c>
      <c r="I1299">
        <v>89.06</v>
      </c>
      <c r="J1299">
        <v>10000</v>
      </c>
      <c r="K1299" s="28">
        <v>6.6725000000000003</v>
      </c>
    </row>
    <row r="1300" spans="1:12" ht="15" customHeight="1" x14ac:dyDescent="0.2">
      <c r="A1300" s="28" t="s">
        <v>8</v>
      </c>
      <c r="B1300" t="s">
        <v>30</v>
      </c>
      <c r="C1300" s="30" t="s">
        <v>55</v>
      </c>
      <c r="D1300" s="28">
        <f>YEAR(TableauFlitrage[[#This Row],[Date_d_adjudication]])</f>
        <v>2022</v>
      </c>
      <c r="E1300" s="28">
        <f t="shared" si="21"/>
        <v>3</v>
      </c>
      <c r="F1300" s="15">
        <v>44642</v>
      </c>
      <c r="G1300" s="28">
        <v>91.005200000000002</v>
      </c>
      <c r="H1300" s="15">
        <v>46470</v>
      </c>
      <c r="I1300">
        <v>80.377499999999998</v>
      </c>
      <c r="J1300">
        <v>15000</v>
      </c>
      <c r="K1300" s="28">
        <v>6.5</v>
      </c>
      <c r="L1300">
        <v>8.76</v>
      </c>
    </row>
    <row r="1301" spans="1:12" ht="15" customHeight="1" x14ac:dyDescent="0.2">
      <c r="A1301" s="28" t="s">
        <v>9</v>
      </c>
      <c r="B1301" s="2" t="s">
        <v>29</v>
      </c>
      <c r="C1301" s="30">
        <v>0.5</v>
      </c>
      <c r="D1301" s="28">
        <f>YEAR(TableauFlitrage[[#This Row],[Date_d_adjudication]])</f>
        <v>2022</v>
      </c>
      <c r="E1301" s="28">
        <f t="shared" si="21"/>
        <v>3</v>
      </c>
      <c r="F1301" s="15">
        <v>44643</v>
      </c>
      <c r="G1301" s="28">
        <v>97.091990999999993</v>
      </c>
      <c r="H1301" s="15">
        <v>44827</v>
      </c>
      <c r="I1301">
        <v>169.52629999999999</v>
      </c>
      <c r="J1301">
        <v>9500</v>
      </c>
      <c r="K1301" s="28">
        <v>5.9244000000000003</v>
      </c>
    </row>
    <row r="1302" spans="1:12" ht="15" customHeight="1" x14ac:dyDescent="0.2">
      <c r="A1302" s="28" t="s">
        <v>11</v>
      </c>
      <c r="B1302" s="2" t="s">
        <v>29</v>
      </c>
      <c r="C1302" s="30">
        <v>0.5</v>
      </c>
      <c r="D1302" s="28">
        <f>YEAR(TableauFlitrage[[#This Row],[Date_d_adjudication]])</f>
        <v>2022</v>
      </c>
      <c r="E1302" s="28">
        <f t="shared" si="21"/>
        <v>3</v>
      </c>
      <c r="F1302" s="15">
        <v>44643</v>
      </c>
      <c r="G1302" s="28">
        <v>96.741804000000002</v>
      </c>
      <c r="H1302" s="15">
        <v>44827</v>
      </c>
      <c r="I1302">
        <v>26.159099999999999</v>
      </c>
      <c r="J1302">
        <v>44000</v>
      </c>
      <c r="K1302" s="28">
        <v>6.6618000000000004</v>
      </c>
    </row>
    <row r="1303" spans="1:12" ht="15" customHeight="1" x14ac:dyDescent="0.2">
      <c r="A1303" s="28" t="s">
        <v>9</v>
      </c>
      <c r="B1303" t="s">
        <v>30</v>
      </c>
      <c r="C1303" s="30" t="s">
        <v>55</v>
      </c>
      <c r="D1303" s="28">
        <f>YEAR(TableauFlitrage[[#This Row],[Date_d_adjudication]])</f>
        <v>2022</v>
      </c>
      <c r="E1303" s="28">
        <f t="shared" si="21"/>
        <v>3</v>
      </c>
      <c r="F1303" s="15">
        <v>44643</v>
      </c>
      <c r="G1303" s="28">
        <v>89.489699999999999</v>
      </c>
      <c r="H1303" s="15">
        <v>46457</v>
      </c>
      <c r="I1303">
        <v>26.7333</v>
      </c>
      <c r="J1303">
        <v>15000</v>
      </c>
      <c r="K1303" s="28">
        <v>6.25</v>
      </c>
      <c r="L1303">
        <v>8.9</v>
      </c>
    </row>
    <row r="1304" spans="1:12" ht="15" customHeight="1" x14ac:dyDescent="0.2">
      <c r="A1304" s="28" t="s">
        <v>9</v>
      </c>
      <c r="B1304" t="s">
        <v>30</v>
      </c>
      <c r="C1304" s="30" t="s">
        <v>54</v>
      </c>
      <c r="D1304" s="28">
        <f>YEAR(TableauFlitrage[[#This Row],[Date_d_adjudication]])</f>
        <v>2022</v>
      </c>
      <c r="E1304" s="28">
        <f t="shared" si="21"/>
        <v>3</v>
      </c>
      <c r="F1304" s="15">
        <v>44643</v>
      </c>
      <c r="G1304" s="28">
        <v>90.467600000000004</v>
      </c>
      <c r="H1304" s="15">
        <v>45741</v>
      </c>
      <c r="I1304">
        <v>70.496200000000002</v>
      </c>
      <c r="J1304">
        <v>22500</v>
      </c>
      <c r="K1304" s="28">
        <v>5.25</v>
      </c>
      <c r="L1304">
        <v>8.94</v>
      </c>
    </row>
    <row r="1305" spans="1:12" ht="15" customHeight="1" x14ac:dyDescent="0.2">
      <c r="A1305" s="28" t="s">
        <v>11</v>
      </c>
      <c r="B1305" t="s">
        <v>30</v>
      </c>
      <c r="C1305" s="30" t="s">
        <v>53</v>
      </c>
      <c r="D1305" s="28">
        <f>YEAR(TableauFlitrage[[#This Row],[Date_d_adjudication]])</f>
        <v>2022</v>
      </c>
      <c r="E1305" s="28">
        <f t="shared" ref="E1305:E1362" si="22">MONTH(F1305)</f>
        <v>3</v>
      </c>
      <c r="F1305" s="15">
        <v>44643</v>
      </c>
      <c r="G1305" s="28">
        <v>92.730599999999995</v>
      </c>
      <c r="H1305" s="15">
        <v>45376</v>
      </c>
      <c r="I1305">
        <v>110.35</v>
      </c>
      <c r="J1305">
        <v>10000</v>
      </c>
      <c r="K1305" s="28">
        <v>6.5</v>
      </c>
      <c r="L1305">
        <v>10.63</v>
      </c>
    </row>
    <row r="1306" spans="1:12" ht="15" customHeight="1" x14ac:dyDescent="0.2">
      <c r="A1306" s="28" t="s">
        <v>7</v>
      </c>
      <c r="B1306" s="2" t="s">
        <v>29</v>
      </c>
      <c r="C1306" s="30">
        <v>0.25</v>
      </c>
      <c r="D1306" s="28">
        <f>YEAR(TableauFlitrage[[#This Row],[Date_d_adjudication]])</f>
        <v>2022</v>
      </c>
      <c r="E1306" s="28">
        <f t="shared" si="22"/>
        <v>3</v>
      </c>
      <c r="F1306" s="15">
        <v>44648</v>
      </c>
      <c r="G1306" s="28">
        <v>99.364896000000002</v>
      </c>
      <c r="H1306" s="15">
        <v>44741</v>
      </c>
      <c r="I1306">
        <v>40</v>
      </c>
      <c r="J1306">
        <v>10000</v>
      </c>
      <c r="K1306" s="28">
        <v>2.5286</v>
      </c>
    </row>
    <row r="1307" spans="1:12" ht="15" customHeight="1" x14ac:dyDescent="0.2">
      <c r="A1307" s="28" t="s">
        <v>8</v>
      </c>
      <c r="B1307" s="2" t="s">
        <v>29</v>
      </c>
      <c r="C1307" s="30">
        <v>0.25</v>
      </c>
      <c r="D1307" s="28">
        <f>YEAR(TableauFlitrage[[#This Row],[Date_d_adjudication]])</f>
        <v>2022</v>
      </c>
      <c r="E1307" s="28">
        <f t="shared" si="22"/>
        <v>3</v>
      </c>
      <c r="F1307" s="15">
        <v>44649</v>
      </c>
      <c r="G1307" s="28">
        <v>98.475361000000007</v>
      </c>
      <c r="H1307" s="15">
        <v>44742</v>
      </c>
      <c r="I1307">
        <v>97.758300000000006</v>
      </c>
      <c r="J1307">
        <v>12000</v>
      </c>
      <c r="K1307" s="28">
        <v>6.1249000000000002</v>
      </c>
    </row>
    <row r="1308" spans="1:12" ht="15" customHeight="1" x14ac:dyDescent="0.2">
      <c r="A1308" s="28" t="s">
        <v>9</v>
      </c>
      <c r="B1308" s="2" t="s">
        <v>29</v>
      </c>
      <c r="C1308" s="30">
        <v>0.25</v>
      </c>
      <c r="D1308" s="28">
        <f>YEAR(TableauFlitrage[[#This Row],[Date_d_adjudication]])</f>
        <v>2022</v>
      </c>
      <c r="E1308" s="28">
        <f t="shared" si="22"/>
        <v>3</v>
      </c>
      <c r="F1308" s="15">
        <v>44650</v>
      </c>
      <c r="G1308" s="28">
        <v>98.597714999999994</v>
      </c>
      <c r="H1308" s="15">
        <v>44743</v>
      </c>
      <c r="I1308">
        <v>123.5583</v>
      </c>
      <c r="J1308">
        <v>12000</v>
      </c>
      <c r="K1308" s="28">
        <v>5.6264000000000003</v>
      </c>
    </row>
    <row r="1309" spans="1:12" ht="15" customHeight="1" x14ac:dyDescent="0.2">
      <c r="A1309" s="28" t="s">
        <v>11</v>
      </c>
      <c r="B1309" s="2" t="s">
        <v>29</v>
      </c>
      <c r="C1309" s="30">
        <v>1</v>
      </c>
      <c r="D1309" s="28">
        <f>YEAR(TableauFlitrage[[#This Row],[Date_d_adjudication]])</f>
        <v>2022</v>
      </c>
      <c r="E1309" s="28">
        <f t="shared" si="22"/>
        <v>3</v>
      </c>
      <c r="F1309" s="15">
        <v>44650</v>
      </c>
      <c r="G1309" s="28">
        <v>93.427778000000004</v>
      </c>
      <c r="H1309" s="15">
        <v>45016</v>
      </c>
      <c r="I1309">
        <v>13.05</v>
      </c>
      <c r="J1309">
        <v>20000</v>
      </c>
      <c r="K1309" s="28">
        <v>6.9572000000000003</v>
      </c>
    </row>
    <row r="1310" spans="1:12" ht="15" customHeight="1" x14ac:dyDescent="0.2">
      <c r="A1310" s="28" t="s">
        <v>11</v>
      </c>
      <c r="B1310" t="s">
        <v>30</v>
      </c>
      <c r="C1310" s="30" t="s">
        <v>53</v>
      </c>
      <c r="D1310" s="28">
        <f>YEAR(TableauFlitrage[[#This Row],[Date_d_adjudication]])</f>
        <v>2022</v>
      </c>
      <c r="E1310" s="28">
        <f t="shared" si="22"/>
        <v>3</v>
      </c>
      <c r="F1310" s="15">
        <v>44650</v>
      </c>
      <c r="G1310" s="28">
        <v>92.831699999999998</v>
      </c>
      <c r="H1310" s="15">
        <v>45383</v>
      </c>
      <c r="I1310">
        <v>32.950000000000003</v>
      </c>
      <c r="J1310">
        <v>10000</v>
      </c>
      <c r="K1310" s="28">
        <v>6</v>
      </c>
      <c r="L1310">
        <v>10.050000000000001</v>
      </c>
    </row>
    <row r="1311" spans="1:12" ht="15" customHeight="1" x14ac:dyDescent="0.2">
      <c r="A1311" s="28" t="s">
        <v>8</v>
      </c>
      <c r="B1311" t="s">
        <v>30</v>
      </c>
      <c r="C1311" s="30" t="s">
        <v>54</v>
      </c>
      <c r="D1311" s="28">
        <f>YEAR(TableauFlitrage[[#This Row],[Date_d_adjudication]])</f>
        <v>2022</v>
      </c>
      <c r="E1311" s="28">
        <f t="shared" si="22"/>
        <v>3</v>
      </c>
      <c r="F1311" s="15">
        <v>44651</v>
      </c>
      <c r="G1311" s="28">
        <v>100</v>
      </c>
      <c r="H1311" s="15">
        <v>45747</v>
      </c>
      <c r="J1311">
        <v>50215</v>
      </c>
      <c r="K1311" s="28">
        <v>6</v>
      </c>
      <c r="L1311" t="s">
        <v>23</v>
      </c>
    </row>
    <row r="1312" spans="1:12" ht="15" customHeight="1" x14ac:dyDescent="0.2">
      <c r="A1312" s="28" t="s">
        <v>8</v>
      </c>
      <c r="B1312" t="s">
        <v>30</v>
      </c>
      <c r="C1312" s="30" t="s">
        <v>56</v>
      </c>
      <c r="D1312" s="28">
        <f>YEAR(TableauFlitrage[[#This Row],[Date_d_adjudication]])</f>
        <v>2022</v>
      </c>
      <c r="E1312" s="28">
        <f t="shared" si="22"/>
        <v>3</v>
      </c>
      <c r="F1312" s="15">
        <v>44651</v>
      </c>
      <c r="G1312" s="28">
        <v>100</v>
      </c>
      <c r="H1312" s="15">
        <v>46112</v>
      </c>
      <c r="J1312">
        <v>50215</v>
      </c>
      <c r="K1312" s="28">
        <v>6</v>
      </c>
      <c r="L1312" t="s">
        <v>23</v>
      </c>
    </row>
    <row r="1313" spans="1:12" ht="15" customHeight="1" x14ac:dyDescent="0.2">
      <c r="A1313" s="28" t="s">
        <v>8</v>
      </c>
      <c r="B1313" t="s">
        <v>30</v>
      </c>
      <c r="C1313" s="30" t="s">
        <v>55</v>
      </c>
      <c r="D1313" s="28">
        <f>YEAR(TableauFlitrage[[#This Row],[Date_d_adjudication]])</f>
        <v>2022</v>
      </c>
      <c r="E1313" s="28">
        <f t="shared" si="22"/>
        <v>3</v>
      </c>
      <c r="F1313" s="15">
        <v>44651</v>
      </c>
      <c r="G1313" s="28">
        <v>100</v>
      </c>
      <c r="H1313" s="15">
        <v>46477</v>
      </c>
      <c r="J1313">
        <v>50215</v>
      </c>
      <c r="K1313" s="28">
        <v>6</v>
      </c>
      <c r="L1313" t="s">
        <v>23</v>
      </c>
    </row>
    <row r="1314" spans="1:12" ht="15" customHeight="1" x14ac:dyDescent="0.2">
      <c r="A1314" s="28" t="s">
        <v>8</v>
      </c>
      <c r="B1314" t="s">
        <v>30</v>
      </c>
      <c r="C1314" s="30" t="s">
        <v>57</v>
      </c>
      <c r="D1314" s="28">
        <f>YEAR(TableauFlitrage[[#This Row],[Date_d_adjudication]])</f>
        <v>2022</v>
      </c>
      <c r="E1314" s="28">
        <f t="shared" si="22"/>
        <v>3</v>
      </c>
      <c r="F1314" s="15">
        <v>44651</v>
      </c>
      <c r="G1314" s="28">
        <v>100</v>
      </c>
      <c r="H1314" s="15">
        <v>46843</v>
      </c>
      <c r="J1314">
        <v>50215</v>
      </c>
      <c r="K1314" s="28">
        <v>6</v>
      </c>
      <c r="L1314" t="s">
        <v>23</v>
      </c>
    </row>
    <row r="1315" spans="1:12" ht="15" customHeight="1" x14ac:dyDescent="0.2">
      <c r="A1315" s="28" t="s">
        <v>8</v>
      </c>
      <c r="B1315" s="2" t="s">
        <v>29</v>
      </c>
      <c r="C1315" s="30">
        <v>1</v>
      </c>
      <c r="D1315" s="28">
        <f>YEAR(TableauFlitrage[[#This Row],[Date_d_adjudication]])</f>
        <v>2022</v>
      </c>
      <c r="E1315" s="28">
        <f t="shared" si="22"/>
        <v>4</v>
      </c>
      <c r="F1315" s="15">
        <v>44656</v>
      </c>
      <c r="G1315" s="28">
        <v>93.354733999999993</v>
      </c>
      <c r="H1315" s="15">
        <v>45022</v>
      </c>
      <c r="I1315">
        <v>98.3</v>
      </c>
      <c r="J1315">
        <v>15000</v>
      </c>
      <c r="K1315" s="28">
        <v>7.0400999999999998</v>
      </c>
    </row>
    <row r="1316" spans="1:12" ht="15" customHeight="1" x14ac:dyDescent="0.2">
      <c r="A1316" s="28" t="s">
        <v>8</v>
      </c>
      <c r="B1316" t="s">
        <v>30</v>
      </c>
      <c r="C1316" s="30" t="s">
        <v>54</v>
      </c>
      <c r="D1316" s="28">
        <f>YEAR(TableauFlitrage[[#This Row],[Date_d_adjudication]])</f>
        <v>2022</v>
      </c>
      <c r="E1316" s="28">
        <f t="shared" si="22"/>
        <v>4</v>
      </c>
      <c r="F1316" s="15">
        <v>44656</v>
      </c>
      <c r="G1316" s="28">
        <v>92.559100000000001</v>
      </c>
      <c r="H1316" s="15">
        <v>45754</v>
      </c>
      <c r="I1316">
        <v>165.87</v>
      </c>
      <c r="J1316">
        <v>10000</v>
      </c>
      <c r="K1316" s="28">
        <v>6</v>
      </c>
      <c r="L1316">
        <v>8.8800000000000008</v>
      </c>
    </row>
    <row r="1317" spans="1:12" ht="15" customHeight="1" x14ac:dyDescent="0.2">
      <c r="A1317" s="28" t="s">
        <v>9</v>
      </c>
      <c r="B1317" s="2" t="s">
        <v>29</v>
      </c>
      <c r="C1317" s="30">
        <v>0.5</v>
      </c>
      <c r="D1317" s="28">
        <f>YEAR(TableauFlitrage[[#This Row],[Date_d_adjudication]])</f>
        <v>2022</v>
      </c>
      <c r="E1317" s="28">
        <f t="shared" si="22"/>
        <v>4</v>
      </c>
      <c r="F1317" s="15">
        <v>44657</v>
      </c>
      <c r="G1317" s="28">
        <v>96.866867999999997</v>
      </c>
      <c r="H1317" s="15">
        <v>44841</v>
      </c>
      <c r="I1317">
        <v>118.1778</v>
      </c>
      <c r="J1317">
        <v>13500</v>
      </c>
      <c r="K1317" s="28">
        <v>6.3978999999999999</v>
      </c>
    </row>
    <row r="1318" spans="1:12" ht="15" customHeight="1" x14ac:dyDescent="0.2">
      <c r="A1318" s="28" t="s">
        <v>8</v>
      </c>
      <c r="B1318" s="2" t="s">
        <v>29</v>
      </c>
      <c r="C1318" s="30">
        <v>0.5</v>
      </c>
      <c r="D1318" s="28">
        <f>YEAR(TableauFlitrage[[#This Row],[Date_d_adjudication]])</f>
        <v>2022</v>
      </c>
      <c r="E1318" s="28">
        <f t="shared" si="22"/>
        <v>4</v>
      </c>
      <c r="F1318" s="15">
        <v>44663</v>
      </c>
      <c r="G1318" s="28">
        <v>96.632818</v>
      </c>
      <c r="H1318" s="15">
        <v>44847</v>
      </c>
      <c r="I1318">
        <v>70.863900000000001</v>
      </c>
      <c r="J1318">
        <v>11000</v>
      </c>
      <c r="K1318" s="28">
        <v>6.8924000000000003</v>
      </c>
    </row>
    <row r="1319" spans="1:12" ht="15" customHeight="1" x14ac:dyDescent="0.2">
      <c r="A1319" s="28" t="s">
        <v>10</v>
      </c>
      <c r="B1319" s="2" t="s">
        <v>29</v>
      </c>
      <c r="C1319" s="30">
        <v>1</v>
      </c>
      <c r="D1319" s="28">
        <f>YEAR(TableauFlitrage[[#This Row],[Date_d_adjudication]])</f>
        <v>2022</v>
      </c>
      <c r="E1319" s="28">
        <f t="shared" si="22"/>
        <v>4</v>
      </c>
      <c r="F1319" s="15">
        <v>44663</v>
      </c>
      <c r="G1319" s="28">
        <v>92.248531999999997</v>
      </c>
      <c r="H1319" s="15">
        <v>45029</v>
      </c>
      <c r="I1319">
        <v>184.85</v>
      </c>
      <c r="J1319">
        <v>20000</v>
      </c>
      <c r="K1319" s="28">
        <v>8.3104999999999993</v>
      </c>
    </row>
    <row r="1320" spans="1:12" ht="15" customHeight="1" x14ac:dyDescent="0.2">
      <c r="A1320" s="28" t="s">
        <v>8</v>
      </c>
      <c r="B1320" t="s">
        <v>30</v>
      </c>
      <c r="C1320" s="30" t="s">
        <v>56</v>
      </c>
      <c r="D1320" s="28">
        <f>YEAR(TableauFlitrage[[#This Row],[Date_d_adjudication]])</f>
        <v>2022</v>
      </c>
      <c r="E1320" s="28">
        <f t="shared" si="22"/>
        <v>4</v>
      </c>
      <c r="F1320" s="15">
        <v>44663</v>
      </c>
      <c r="G1320" s="28">
        <v>91.070300000000003</v>
      </c>
      <c r="H1320" s="15">
        <v>46126</v>
      </c>
      <c r="I1320">
        <v>42.7333</v>
      </c>
      <c r="J1320">
        <v>15000</v>
      </c>
      <c r="K1320" s="28">
        <v>6.25</v>
      </c>
      <c r="L1320">
        <v>8.9600000000000009</v>
      </c>
    </row>
    <row r="1321" spans="1:12" ht="15" customHeight="1" x14ac:dyDescent="0.2">
      <c r="A1321" s="28" t="s">
        <v>9</v>
      </c>
      <c r="B1321" s="2" t="s">
        <v>29</v>
      </c>
      <c r="C1321" s="30">
        <v>0.5</v>
      </c>
      <c r="D1321" s="28">
        <f>YEAR(TableauFlitrage[[#This Row],[Date_d_adjudication]])</f>
        <v>2022</v>
      </c>
      <c r="E1321" s="28">
        <f t="shared" si="22"/>
        <v>4</v>
      </c>
      <c r="F1321" s="15">
        <v>44664</v>
      </c>
      <c r="G1321" s="28">
        <v>96.872337999999999</v>
      </c>
      <c r="H1321" s="15">
        <v>44848</v>
      </c>
      <c r="I1321">
        <v>202.98949999999999</v>
      </c>
      <c r="J1321">
        <v>9500</v>
      </c>
      <c r="K1321" s="28">
        <v>6.3863000000000003</v>
      </c>
    </row>
    <row r="1322" spans="1:12" ht="15" customHeight="1" x14ac:dyDescent="0.2">
      <c r="A1322" s="28" t="s">
        <v>11</v>
      </c>
      <c r="B1322" s="2" t="s">
        <v>29</v>
      </c>
      <c r="C1322" s="30">
        <v>0.5</v>
      </c>
      <c r="D1322" s="28">
        <f>YEAR(TableauFlitrage[[#This Row],[Date_d_adjudication]])</f>
        <v>2022</v>
      </c>
      <c r="E1322" s="28">
        <f t="shared" si="22"/>
        <v>4</v>
      </c>
      <c r="F1322" s="15">
        <v>44664</v>
      </c>
      <c r="G1322" s="28">
        <v>96.682569000000001</v>
      </c>
      <c r="H1322" s="15">
        <v>44848</v>
      </c>
      <c r="I1322">
        <v>14.0458</v>
      </c>
      <c r="J1322">
        <v>24000</v>
      </c>
      <c r="K1322" s="28">
        <v>6.7870999999999997</v>
      </c>
    </row>
    <row r="1323" spans="1:12" ht="15" customHeight="1" x14ac:dyDescent="0.2">
      <c r="A1323" s="28" t="s">
        <v>9</v>
      </c>
      <c r="B1323" t="s">
        <v>30</v>
      </c>
      <c r="C1323" s="30" t="s">
        <v>55</v>
      </c>
      <c r="D1323" s="28">
        <f>YEAR(TableauFlitrage[[#This Row],[Date_d_adjudication]])</f>
        <v>2022</v>
      </c>
      <c r="E1323" s="28">
        <f t="shared" si="22"/>
        <v>4</v>
      </c>
      <c r="F1323" s="15">
        <v>44664</v>
      </c>
      <c r="G1323" s="28">
        <v>90.620400000000004</v>
      </c>
      <c r="H1323" s="15">
        <v>46457</v>
      </c>
      <c r="I1323">
        <v>23.5533</v>
      </c>
      <c r="J1323">
        <v>7500</v>
      </c>
      <c r="K1323" s="28">
        <v>6.25</v>
      </c>
      <c r="L1323">
        <v>8.6</v>
      </c>
    </row>
    <row r="1324" spans="1:12" ht="15" customHeight="1" x14ac:dyDescent="0.2">
      <c r="A1324" s="28" t="s">
        <v>9</v>
      </c>
      <c r="B1324" t="s">
        <v>30</v>
      </c>
      <c r="C1324" s="30" t="s">
        <v>54</v>
      </c>
      <c r="D1324" s="28">
        <f>YEAR(TableauFlitrage[[#This Row],[Date_d_adjudication]])</f>
        <v>2022</v>
      </c>
      <c r="E1324" s="28">
        <f t="shared" si="22"/>
        <v>4</v>
      </c>
      <c r="F1324" s="15">
        <v>44664</v>
      </c>
      <c r="G1324" s="28">
        <v>91.359300000000005</v>
      </c>
      <c r="H1324" s="15">
        <v>45741</v>
      </c>
      <c r="I1324">
        <v>174.1087</v>
      </c>
      <c r="J1324">
        <v>15000</v>
      </c>
      <c r="K1324" s="28">
        <v>5.25</v>
      </c>
      <c r="L1324">
        <v>8.58</v>
      </c>
    </row>
    <row r="1325" spans="1:12" ht="15" customHeight="1" x14ac:dyDescent="0.2">
      <c r="A1325" s="28" t="s">
        <v>11</v>
      </c>
      <c r="B1325" t="s">
        <v>30</v>
      </c>
      <c r="C1325" s="30" t="s">
        <v>53</v>
      </c>
      <c r="D1325" s="28">
        <f>YEAR(TableauFlitrage[[#This Row],[Date_d_adjudication]])</f>
        <v>2022</v>
      </c>
      <c r="E1325" s="28">
        <f t="shared" si="22"/>
        <v>4</v>
      </c>
      <c r="F1325" s="15">
        <v>44664</v>
      </c>
      <c r="G1325" s="28">
        <v>92.164000000000001</v>
      </c>
      <c r="H1325" s="15">
        <v>45397</v>
      </c>
      <c r="I1325">
        <v>80.7</v>
      </c>
      <c r="J1325">
        <v>10000</v>
      </c>
      <c r="K1325" s="28">
        <v>6.5</v>
      </c>
      <c r="L1325">
        <v>10.97</v>
      </c>
    </row>
    <row r="1326" spans="1:12" ht="15" customHeight="1" x14ac:dyDescent="0.2">
      <c r="A1326" s="28" t="s">
        <v>8</v>
      </c>
      <c r="B1326" s="2" t="s">
        <v>29</v>
      </c>
      <c r="C1326" s="30">
        <v>0.25</v>
      </c>
      <c r="D1326" s="28">
        <f>YEAR(TableauFlitrage[[#This Row],[Date_d_adjudication]])</f>
        <v>2022</v>
      </c>
      <c r="E1326" s="28">
        <f t="shared" si="22"/>
        <v>4</v>
      </c>
      <c r="F1326" s="15">
        <v>44670</v>
      </c>
      <c r="G1326" s="28">
        <v>98.434713000000002</v>
      </c>
      <c r="H1326" s="15">
        <v>44763</v>
      </c>
      <c r="I1326">
        <v>148.9375</v>
      </c>
      <c r="J1326">
        <v>8000</v>
      </c>
      <c r="K1326" s="28">
        <v>6.2907999999999999</v>
      </c>
    </row>
    <row r="1327" spans="1:12" ht="15" customHeight="1" x14ac:dyDescent="0.2">
      <c r="A1327" s="28" t="s">
        <v>10</v>
      </c>
      <c r="B1327" s="2" t="s">
        <v>29</v>
      </c>
      <c r="C1327" s="30">
        <v>1</v>
      </c>
      <c r="D1327" s="28">
        <f>YEAR(TableauFlitrage[[#This Row],[Date_d_adjudication]])</f>
        <v>2022</v>
      </c>
      <c r="E1327" s="28">
        <f t="shared" si="22"/>
        <v>4</v>
      </c>
      <c r="F1327" s="15">
        <v>44670</v>
      </c>
      <c r="G1327" s="28">
        <v>93.370918000000003</v>
      </c>
      <c r="H1327" s="15">
        <v>45036</v>
      </c>
      <c r="I1327">
        <v>213.05289999999999</v>
      </c>
      <c r="J1327">
        <v>17000</v>
      </c>
      <c r="K1327" s="28">
        <v>7.0217000000000001</v>
      </c>
    </row>
    <row r="1328" spans="1:12" ht="15" customHeight="1" x14ac:dyDescent="0.2">
      <c r="A1328" s="28" t="s">
        <v>9</v>
      </c>
      <c r="B1328" s="2" t="s">
        <v>29</v>
      </c>
      <c r="C1328" s="30">
        <v>0.25</v>
      </c>
      <c r="D1328" s="28">
        <f>YEAR(TableauFlitrage[[#This Row],[Date_d_adjudication]])</f>
        <v>2022</v>
      </c>
      <c r="E1328" s="28">
        <f t="shared" si="22"/>
        <v>4</v>
      </c>
      <c r="F1328" s="15">
        <v>44671</v>
      </c>
      <c r="G1328" s="28">
        <v>98.561469000000002</v>
      </c>
      <c r="H1328" s="15">
        <v>44764</v>
      </c>
      <c r="I1328">
        <v>105.0667</v>
      </c>
      <c r="J1328">
        <v>12000</v>
      </c>
      <c r="K1328" s="28">
        <v>5.774</v>
      </c>
    </row>
    <row r="1329" spans="1:12" ht="15" customHeight="1" x14ac:dyDescent="0.2">
      <c r="A1329" s="28" t="s">
        <v>11</v>
      </c>
      <c r="B1329" s="2" t="s">
        <v>29</v>
      </c>
      <c r="C1329" s="30">
        <v>0.5</v>
      </c>
      <c r="D1329" s="28">
        <f>YEAR(TableauFlitrage[[#This Row],[Date_d_adjudication]])</f>
        <v>2022</v>
      </c>
      <c r="E1329" s="28">
        <f t="shared" si="22"/>
        <v>4</v>
      </c>
      <c r="F1329" s="15">
        <v>44671</v>
      </c>
      <c r="G1329" s="28">
        <v>96.713888999999995</v>
      </c>
      <c r="H1329" s="15">
        <v>44855</v>
      </c>
      <c r="I1329">
        <v>60.1</v>
      </c>
      <c r="J1329">
        <v>10000</v>
      </c>
      <c r="K1329" s="28">
        <v>6.7209000000000003</v>
      </c>
    </row>
    <row r="1330" spans="1:12" ht="15" customHeight="1" x14ac:dyDescent="0.2">
      <c r="A1330" s="28" t="s">
        <v>11</v>
      </c>
      <c r="B1330" t="s">
        <v>30</v>
      </c>
      <c r="C1330" s="30" t="s">
        <v>53</v>
      </c>
      <c r="D1330" s="28">
        <f>YEAR(TableauFlitrage[[#This Row],[Date_d_adjudication]])</f>
        <v>2022</v>
      </c>
      <c r="E1330" s="28">
        <f t="shared" si="22"/>
        <v>4</v>
      </c>
      <c r="F1330" s="15">
        <v>44671</v>
      </c>
      <c r="G1330" s="28">
        <v>92.073999999999998</v>
      </c>
      <c r="H1330" s="15">
        <v>45404</v>
      </c>
      <c r="I1330">
        <v>57.3</v>
      </c>
      <c r="J1330">
        <v>10000</v>
      </c>
      <c r="K1330" s="28">
        <v>6.5</v>
      </c>
      <c r="L1330">
        <v>11.02</v>
      </c>
    </row>
    <row r="1331" spans="1:12" ht="15" customHeight="1" x14ac:dyDescent="0.2">
      <c r="A1331" s="28" t="s">
        <v>8</v>
      </c>
      <c r="B1331" s="2" t="s">
        <v>29</v>
      </c>
      <c r="C1331" s="30">
        <v>0.5</v>
      </c>
      <c r="D1331" s="28">
        <f>YEAR(TableauFlitrage[[#This Row],[Date_d_adjudication]])</f>
        <v>2022</v>
      </c>
      <c r="E1331" s="28">
        <f t="shared" si="22"/>
        <v>4</v>
      </c>
      <c r="F1331" s="15">
        <v>44677</v>
      </c>
      <c r="G1331" s="28">
        <v>96.794910999999999</v>
      </c>
      <c r="H1331" s="15">
        <v>44861</v>
      </c>
      <c r="I1331">
        <v>95.19</v>
      </c>
      <c r="J1331">
        <v>10000</v>
      </c>
      <c r="K1331" s="28">
        <v>6.5496999999999996</v>
      </c>
    </row>
    <row r="1332" spans="1:12" ht="15" customHeight="1" x14ac:dyDescent="0.2">
      <c r="A1332" s="28" t="s">
        <v>9</v>
      </c>
      <c r="B1332" s="2" t="s">
        <v>29</v>
      </c>
      <c r="C1332" s="30">
        <v>0.25</v>
      </c>
      <c r="D1332" s="28">
        <f>YEAR(TableauFlitrage[[#This Row],[Date_d_adjudication]])</f>
        <v>2022</v>
      </c>
      <c r="E1332" s="28">
        <f t="shared" si="22"/>
        <v>4</v>
      </c>
      <c r="F1332" s="15">
        <v>44678</v>
      </c>
      <c r="G1332" s="28">
        <v>98.541734000000005</v>
      </c>
      <c r="H1332" s="15">
        <v>44771</v>
      </c>
      <c r="I1332">
        <v>148.37039999999999</v>
      </c>
      <c r="J1332">
        <v>13500</v>
      </c>
      <c r="K1332" s="28">
        <v>5.8543000000000003</v>
      </c>
    </row>
    <row r="1333" spans="1:12" ht="15" customHeight="1" x14ac:dyDescent="0.2">
      <c r="A1333" s="28" t="s">
        <v>11</v>
      </c>
      <c r="B1333" s="2" t="s">
        <v>29</v>
      </c>
      <c r="C1333" s="30">
        <v>0.5</v>
      </c>
      <c r="D1333" s="28">
        <f>YEAR(TableauFlitrage[[#This Row],[Date_d_adjudication]])</f>
        <v>2022</v>
      </c>
      <c r="E1333" s="28">
        <f t="shared" si="22"/>
        <v>4</v>
      </c>
      <c r="F1333" s="15">
        <v>44678</v>
      </c>
      <c r="G1333" s="28">
        <v>96.713888999999995</v>
      </c>
      <c r="H1333" s="15">
        <v>44862</v>
      </c>
      <c r="I1333">
        <v>57.594999999999999</v>
      </c>
      <c r="J1333">
        <v>20000</v>
      </c>
      <c r="K1333" s="28">
        <v>6.7209000000000003</v>
      </c>
    </row>
    <row r="1334" spans="1:12" ht="15" customHeight="1" x14ac:dyDescent="0.2">
      <c r="A1334" s="28" t="s">
        <v>11</v>
      </c>
      <c r="B1334" t="s">
        <v>30</v>
      </c>
      <c r="C1334" s="30" t="s">
        <v>54</v>
      </c>
      <c r="D1334" s="28">
        <f>YEAR(TableauFlitrage[[#This Row],[Date_d_adjudication]])</f>
        <v>2022</v>
      </c>
      <c r="E1334" s="28">
        <f t="shared" si="22"/>
        <v>4</v>
      </c>
      <c r="F1334" s="15">
        <v>44678</v>
      </c>
      <c r="G1334" s="28">
        <v>100</v>
      </c>
      <c r="H1334" s="15">
        <v>45776</v>
      </c>
      <c r="I1334">
        <v>84.190700000000007</v>
      </c>
      <c r="J1334">
        <v>10000</v>
      </c>
      <c r="K1334" s="28">
        <v>4.5</v>
      </c>
      <c r="L1334">
        <v>4.5</v>
      </c>
    </row>
    <row r="1335" spans="1:12" ht="15" customHeight="1" x14ac:dyDescent="0.2">
      <c r="A1335" s="28" t="s">
        <v>8</v>
      </c>
      <c r="B1335" s="2" t="s">
        <v>29</v>
      </c>
      <c r="C1335" s="30">
        <v>0.25</v>
      </c>
      <c r="D1335" s="28">
        <f>YEAR(TableauFlitrage[[#This Row],[Date_d_adjudication]])</f>
        <v>2022</v>
      </c>
      <c r="E1335" s="28">
        <f t="shared" si="22"/>
        <v>5</v>
      </c>
      <c r="F1335" s="15">
        <v>44684</v>
      </c>
      <c r="G1335" s="28">
        <v>98.453956000000005</v>
      </c>
      <c r="H1335" s="15">
        <v>44777</v>
      </c>
      <c r="I1335">
        <v>79.285700000000006</v>
      </c>
      <c r="J1335">
        <v>7000</v>
      </c>
      <c r="K1335" s="28">
        <v>6.2122999999999999</v>
      </c>
    </row>
    <row r="1336" spans="1:12" ht="15" customHeight="1" x14ac:dyDescent="0.2">
      <c r="A1336" s="28" t="s">
        <v>9</v>
      </c>
      <c r="B1336" s="2" t="s">
        <v>29</v>
      </c>
      <c r="C1336" s="30">
        <v>1</v>
      </c>
      <c r="D1336" s="28">
        <f>YEAR(TableauFlitrage[[#This Row],[Date_d_adjudication]])</f>
        <v>2022</v>
      </c>
      <c r="E1336" s="28">
        <f t="shared" si="22"/>
        <v>5</v>
      </c>
      <c r="F1336" s="15">
        <v>44685</v>
      </c>
      <c r="G1336" s="28">
        <v>93.616495999999998</v>
      </c>
      <c r="H1336" s="15">
        <v>45051</v>
      </c>
      <c r="I1336">
        <v>100.0333</v>
      </c>
      <c r="J1336">
        <v>12000</v>
      </c>
      <c r="K1336" s="28">
        <v>6.7438000000000002</v>
      </c>
    </row>
    <row r="1337" spans="1:12" ht="15" customHeight="1" x14ac:dyDescent="0.2">
      <c r="A1337" s="28" t="s">
        <v>11</v>
      </c>
      <c r="B1337" t="s">
        <v>30</v>
      </c>
      <c r="C1337" s="30" t="s">
        <v>54</v>
      </c>
      <c r="D1337" s="28">
        <f>YEAR(TableauFlitrage[[#This Row],[Date_d_adjudication]])</f>
        <v>2022</v>
      </c>
      <c r="E1337" s="28">
        <f t="shared" si="22"/>
        <v>5</v>
      </c>
      <c r="F1337" s="15">
        <v>44685</v>
      </c>
      <c r="G1337" s="28">
        <v>100</v>
      </c>
      <c r="H1337" s="15">
        <v>45783</v>
      </c>
      <c r="I1337">
        <v>84.190700000000007</v>
      </c>
      <c r="J1337">
        <v>10000</v>
      </c>
      <c r="K1337" s="28">
        <v>4.5</v>
      </c>
      <c r="L1337">
        <v>4.5</v>
      </c>
    </row>
    <row r="1338" spans="1:12" ht="15" customHeight="1" x14ac:dyDescent="0.2">
      <c r="A1338" s="28" t="s">
        <v>14</v>
      </c>
      <c r="B1338" t="s">
        <v>30</v>
      </c>
      <c r="C1338" s="30" t="s">
        <v>54</v>
      </c>
      <c r="D1338" s="28">
        <f>YEAR(TableauFlitrage[[#This Row],[Date_d_adjudication]])</f>
        <v>2022</v>
      </c>
      <c r="E1338" s="28">
        <f t="shared" si="22"/>
        <v>5</v>
      </c>
      <c r="F1338" s="15">
        <v>44690</v>
      </c>
      <c r="G1338" s="28">
        <v>90.6494</v>
      </c>
      <c r="H1338" s="15">
        <v>45788</v>
      </c>
      <c r="I1338">
        <v>52.666699999999999</v>
      </c>
      <c r="J1338">
        <v>15000</v>
      </c>
      <c r="K1338" s="28">
        <v>6.5</v>
      </c>
      <c r="L1338">
        <v>10.199999999999999</v>
      </c>
    </row>
    <row r="1339" spans="1:12" ht="15" customHeight="1" x14ac:dyDescent="0.2">
      <c r="A1339" s="28" t="s">
        <v>8</v>
      </c>
      <c r="B1339" s="2" t="s">
        <v>29</v>
      </c>
      <c r="C1339" s="30">
        <v>0.5</v>
      </c>
      <c r="D1339" s="28">
        <f>YEAR(TableauFlitrage[[#This Row],[Date_d_adjudication]])</f>
        <v>2022</v>
      </c>
      <c r="E1339" s="28">
        <f t="shared" si="22"/>
        <v>5</v>
      </c>
      <c r="F1339" s="15">
        <v>44691</v>
      </c>
      <c r="G1339" s="28">
        <v>96.683470999999997</v>
      </c>
      <c r="H1339" s="15">
        <v>44875</v>
      </c>
      <c r="I1339">
        <v>113.2333</v>
      </c>
      <c r="J1339">
        <v>12000</v>
      </c>
      <c r="K1339" s="28">
        <v>6.7851999999999997</v>
      </c>
    </row>
    <row r="1340" spans="1:12" ht="15" customHeight="1" x14ac:dyDescent="0.2">
      <c r="A1340" s="28" t="s">
        <v>10</v>
      </c>
      <c r="B1340" s="2" t="s">
        <v>29</v>
      </c>
      <c r="C1340" s="30">
        <v>1</v>
      </c>
      <c r="D1340" s="28">
        <f>YEAR(TableauFlitrage[[#This Row],[Date_d_adjudication]])</f>
        <v>2022</v>
      </c>
      <c r="E1340" s="28">
        <f t="shared" si="22"/>
        <v>5</v>
      </c>
      <c r="F1340" s="15">
        <v>44691</v>
      </c>
      <c r="G1340" s="28">
        <v>92.793190999999993</v>
      </c>
      <c r="H1340" s="15">
        <v>45057</v>
      </c>
      <c r="I1340">
        <v>129.77330000000001</v>
      </c>
      <c r="J1340">
        <v>15000</v>
      </c>
      <c r="K1340" s="28">
        <v>7.6811999999999996</v>
      </c>
    </row>
    <row r="1341" spans="1:12" ht="15" customHeight="1" x14ac:dyDescent="0.2">
      <c r="A1341" s="28" t="s">
        <v>11</v>
      </c>
      <c r="B1341" s="2" t="s">
        <v>29</v>
      </c>
      <c r="C1341" s="30">
        <v>0.5</v>
      </c>
      <c r="D1341" s="28">
        <f>YEAR(TableauFlitrage[[#This Row],[Date_d_adjudication]])</f>
        <v>2022</v>
      </c>
      <c r="E1341" s="28">
        <f t="shared" si="22"/>
        <v>5</v>
      </c>
      <c r="F1341" s="15">
        <v>44691</v>
      </c>
      <c r="G1341" s="28">
        <v>96.713888999999995</v>
      </c>
      <c r="H1341" s="15">
        <v>44876</v>
      </c>
      <c r="I1341">
        <v>35.463299999999997</v>
      </c>
      <c r="J1341">
        <v>30000</v>
      </c>
      <c r="K1341" s="28">
        <v>6.7209000000000003</v>
      </c>
    </row>
    <row r="1342" spans="1:12" ht="15" customHeight="1" x14ac:dyDescent="0.2">
      <c r="A1342" s="28" t="s">
        <v>8</v>
      </c>
      <c r="B1342" t="s">
        <v>30</v>
      </c>
      <c r="C1342" s="30" t="s">
        <v>55</v>
      </c>
      <c r="D1342" s="28">
        <f>YEAR(TableauFlitrage[[#This Row],[Date_d_adjudication]])</f>
        <v>2022</v>
      </c>
      <c r="E1342" s="28">
        <f t="shared" si="22"/>
        <v>5</v>
      </c>
      <c r="F1342" s="15">
        <v>44691</v>
      </c>
      <c r="G1342" s="28">
        <v>90.689899999999994</v>
      </c>
      <c r="H1342" s="15">
        <v>46519</v>
      </c>
      <c r="I1342">
        <v>15.4</v>
      </c>
      <c r="J1342">
        <v>10000</v>
      </c>
      <c r="K1342" s="28">
        <v>6.5</v>
      </c>
      <c r="L1342">
        <v>8.84</v>
      </c>
    </row>
    <row r="1343" spans="1:12" ht="15" customHeight="1" x14ac:dyDescent="0.2">
      <c r="A1343" s="28" t="s">
        <v>11</v>
      </c>
      <c r="B1343" t="s">
        <v>30</v>
      </c>
      <c r="C1343" s="30" t="s">
        <v>53</v>
      </c>
      <c r="D1343" s="28">
        <f>YEAR(TableauFlitrage[[#This Row],[Date_d_adjudication]])</f>
        <v>2022</v>
      </c>
      <c r="E1343" s="28">
        <f t="shared" si="22"/>
        <v>5</v>
      </c>
      <c r="F1343" s="15">
        <v>44692</v>
      </c>
      <c r="G1343" s="28">
        <v>92.5214</v>
      </c>
      <c r="H1343" s="15">
        <v>45425</v>
      </c>
      <c r="I1343">
        <v>61.075000000000003</v>
      </c>
      <c r="J1343">
        <v>30000</v>
      </c>
      <c r="K1343" s="28">
        <v>6.5</v>
      </c>
      <c r="L1343">
        <v>10.76</v>
      </c>
    </row>
    <row r="1344" spans="1:12" ht="15" customHeight="1" x14ac:dyDescent="0.2">
      <c r="A1344" s="28" t="s">
        <v>8</v>
      </c>
      <c r="B1344" t="s">
        <v>30</v>
      </c>
      <c r="C1344" s="30" t="s">
        <v>53</v>
      </c>
      <c r="D1344" s="28">
        <f>YEAR(TableauFlitrage[[#This Row],[Date_d_adjudication]])</f>
        <v>2022</v>
      </c>
      <c r="E1344" s="28">
        <f t="shared" si="22"/>
        <v>5</v>
      </c>
      <c r="F1344" s="15">
        <v>44698</v>
      </c>
      <c r="G1344" s="28">
        <v>92.185900000000004</v>
      </c>
      <c r="H1344" s="15">
        <v>45431</v>
      </c>
      <c r="I1344">
        <v>121.68</v>
      </c>
      <c r="J1344">
        <v>15000</v>
      </c>
      <c r="K1344" s="28">
        <v>5.25</v>
      </c>
      <c r="L1344">
        <v>9.64</v>
      </c>
    </row>
    <row r="1345" spans="1:12" ht="15" customHeight="1" x14ac:dyDescent="0.2">
      <c r="A1345" s="28" t="s">
        <v>9</v>
      </c>
      <c r="B1345" s="2" t="s">
        <v>29</v>
      </c>
      <c r="C1345" s="30">
        <v>0.25</v>
      </c>
      <c r="D1345" s="28">
        <f>YEAR(TableauFlitrage[[#This Row],[Date_d_adjudication]])</f>
        <v>2022</v>
      </c>
      <c r="E1345" s="28">
        <f t="shared" si="22"/>
        <v>5</v>
      </c>
      <c r="F1345" s="15">
        <v>44699</v>
      </c>
      <c r="G1345" s="28">
        <v>98.558060999999995</v>
      </c>
      <c r="H1345" s="15">
        <v>44792</v>
      </c>
      <c r="I1345">
        <v>135.125</v>
      </c>
      <c r="J1345">
        <v>8000</v>
      </c>
      <c r="K1345" s="28">
        <v>5.7877999999999998</v>
      </c>
    </row>
    <row r="1346" spans="1:12" ht="15" customHeight="1" x14ac:dyDescent="0.2">
      <c r="A1346" s="28" t="s">
        <v>11</v>
      </c>
      <c r="B1346" s="2" t="s">
        <v>29</v>
      </c>
      <c r="C1346" s="30">
        <v>0.5</v>
      </c>
      <c r="D1346" s="28">
        <f>YEAR(TableauFlitrage[[#This Row],[Date_d_adjudication]])</f>
        <v>2022</v>
      </c>
      <c r="E1346" s="28">
        <f t="shared" si="22"/>
        <v>5</v>
      </c>
      <c r="F1346" s="15">
        <v>44699</v>
      </c>
      <c r="G1346" s="28">
        <v>96.685130999999998</v>
      </c>
      <c r="H1346" s="15">
        <v>44883</v>
      </c>
      <c r="I1346">
        <v>14.780799999999999</v>
      </c>
      <c r="J1346">
        <v>25452</v>
      </c>
      <c r="K1346" s="28">
        <v>6.7816999999999998</v>
      </c>
    </row>
    <row r="1347" spans="1:12" ht="15" customHeight="1" x14ac:dyDescent="0.2">
      <c r="A1347" s="28" t="s">
        <v>9</v>
      </c>
      <c r="B1347" t="s">
        <v>30</v>
      </c>
      <c r="C1347" s="30" t="s">
        <v>54</v>
      </c>
      <c r="D1347" s="28">
        <f>YEAR(TableauFlitrage[[#This Row],[Date_d_adjudication]])</f>
        <v>2022</v>
      </c>
      <c r="E1347" s="28">
        <f t="shared" si="22"/>
        <v>5</v>
      </c>
      <c r="F1347" s="15">
        <v>44699</v>
      </c>
      <c r="G1347" s="28">
        <v>90.455799999999996</v>
      </c>
      <c r="H1347" s="15">
        <v>45797</v>
      </c>
      <c r="I1347">
        <v>79.746700000000004</v>
      </c>
      <c r="J1347">
        <v>30000</v>
      </c>
      <c r="K1347" s="28">
        <v>5.25</v>
      </c>
      <c r="L1347">
        <v>8.9499999999999993</v>
      </c>
    </row>
    <row r="1348" spans="1:12" ht="15" customHeight="1" x14ac:dyDescent="0.2">
      <c r="A1348" s="28" t="s">
        <v>9</v>
      </c>
      <c r="B1348" t="s">
        <v>30</v>
      </c>
      <c r="C1348" s="30" t="s">
        <v>56</v>
      </c>
      <c r="D1348" s="28">
        <f>YEAR(TableauFlitrage[[#This Row],[Date_d_adjudication]])</f>
        <v>2022</v>
      </c>
      <c r="E1348" s="28">
        <f t="shared" si="22"/>
        <v>5</v>
      </c>
      <c r="F1348" s="15">
        <v>44699</v>
      </c>
      <c r="G1348" s="28">
        <v>89.326999999999998</v>
      </c>
      <c r="H1348" s="15">
        <v>46162</v>
      </c>
      <c r="I1348">
        <v>57.82</v>
      </c>
      <c r="J1348">
        <v>15000</v>
      </c>
      <c r="K1348" s="28">
        <v>5.75</v>
      </c>
      <c r="L1348">
        <v>8.99</v>
      </c>
    </row>
    <row r="1349" spans="1:12" ht="15" customHeight="1" x14ac:dyDescent="0.2">
      <c r="A1349" s="28" t="s">
        <v>11</v>
      </c>
      <c r="B1349" t="s">
        <v>30</v>
      </c>
      <c r="C1349" s="30" t="s">
        <v>53</v>
      </c>
      <c r="D1349" s="28">
        <f>YEAR(TableauFlitrage[[#This Row],[Date_d_adjudication]])</f>
        <v>2022</v>
      </c>
      <c r="E1349" s="28">
        <f t="shared" si="22"/>
        <v>5</v>
      </c>
      <c r="F1349" s="15">
        <v>44699</v>
      </c>
      <c r="G1349" s="28">
        <v>92.201599999999999</v>
      </c>
      <c r="H1349" s="15">
        <v>45432</v>
      </c>
      <c r="I1349">
        <v>66.828999999999994</v>
      </c>
      <c r="J1349">
        <v>25000</v>
      </c>
      <c r="K1349" s="28">
        <v>6.5</v>
      </c>
      <c r="L1349">
        <v>10.95</v>
      </c>
    </row>
    <row r="1350" spans="1:12" ht="15" customHeight="1" x14ac:dyDescent="0.2">
      <c r="A1350" s="28" t="s">
        <v>9</v>
      </c>
      <c r="B1350" s="2" t="s">
        <v>29</v>
      </c>
      <c r="C1350" s="30">
        <v>0.5</v>
      </c>
      <c r="D1350" s="28">
        <f>YEAR(TableauFlitrage[[#This Row],[Date_d_adjudication]])</f>
        <v>2022</v>
      </c>
      <c r="E1350" s="28">
        <f t="shared" si="22"/>
        <v>5</v>
      </c>
      <c r="F1350" s="15">
        <v>44706</v>
      </c>
      <c r="G1350" s="28">
        <v>97.212604999999996</v>
      </c>
      <c r="H1350" s="15">
        <v>44890</v>
      </c>
      <c r="I1350">
        <v>199.29409999999999</v>
      </c>
      <c r="J1350">
        <v>8500</v>
      </c>
      <c r="K1350" s="28">
        <v>5.6715999999999998</v>
      </c>
    </row>
    <row r="1351" spans="1:12" ht="15" customHeight="1" x14ac:dyDescent="0.2">
      <c r="A1351" s="28" t="s">
        <v>9</v>
      </c>
      <c r="B1351" t="s">
        <v>30</v>
      </c>
      <c r="C1351" s="30" t="s">
        <v>54</v>
      </c>
      <c r="D1351" s="28">
        <f>YEAR(TableauFlitrage[[#This Row],[Date_d_adjudication]])</f>
        <v>2022</v>
      </c>
      <c r="E1351" s="28">
        <f t="shared" si="22"/>
        <v>5</v>
      </c>
      <c r="F1351" s="15">
        <v>44706</v>
      </c>
      <c r="G1351" s="28">
        <v>90.390199999999993</v>
      </c>
      <c r="H1351" s="15">
        <v>45797</v>
      </c>
      <c r="I1351">
        <v>105.22</v>
      </c>
      <c r="J1351">
        <v>10000</v>
      </c>
      <c r="K1351" s="28">
        <v>5.25</v>
      </c>
      <c r="L1351">
        <v>8.98</v>
      </c>
    </row>
    <row r="1352" spans="1:12" ht="15" customHeight="1" x14ac:dyDescent="0.2">
      <c r="A1352" s="28" t="s">
        <v>8</v>
      </c>
      <c r="B1352" s="2" t="s">
        <v>29</v>
      </c>
      <c r="C1352" s="30">
        <v>0.25</v>
      </c>
      <c r="D1352" s="28">
        <f>YEAR(TableauFlitrage[[#This Row],[Date_d_adjudication]])</f>
        <v>2022</v>
      </c>
      <c r="E1352" s="28">
        <f t="shared" si="22"/>
        <v>5</v>
      </c>
      <c r="F1352" s="15">
        <v>44712</v>
      </c>
      <c r="G1352" s="28">
        <v>98.324610000000007</v>
      </c>
      <c r="H1352" s="15">
        <v>44805</v>
      </c>
      <c r="I1352">
        <v>69.674999999999997</v>
      </c>
      <c r="J1352">
        <v>8000</v>
      </c>
      <c r="K1352" s="28">
        <v>6.7408999999999999</v>
      </c>
    </row>
    <row r="1353" spans="1:12" ht="15" customHeight="1" x14ac:dyDescent="0.2">
      <c r="A1353" s="28" t="s">
        <v>8</v>
      </c>
      <c r="B1353" t="s">
        <v>30</v>
      </c>
      <c r="C1353" s="30" t="s">
        <v>54</v>
      </c>
      <c r="D1353" s="28">
        <f>YEAR(TableauFlitrage[[#This Row],[Date_d_adjudication]])</f>
        <v>2022</v>
      </c>
      <c r="E1353" s="28">
        <f t="shared" si="22"/>
        <v>5</v>
      </c>
      <c r="F1353" s="15">
        <v>44712</v>
      </c>
      <c r="G1353" s="28">
        <v>92.215800000000002</v>
      </c>
      <c r="H1353" s="15">
        <v>45810</v>
      </c>
      <c r="I1353">
        <v>24.931100000000001</v>
      </c>
      <c r="J1353">
        <v>10000</v>
      </c>
      <c r="K1353" s="28">
        <v>6</v>
      </c>
      <c r="L1353">
        <v>9.02</v>
      </c>
    </row>
    <row r="1354" spans="1:12" ht="15" customHeight="1" x14ac:dyDescent="0.2">
      <c r="A1354" s="28" t="s">
        <v>9</v>
      </c>
      <c r="B1354" s="2" t="s">
        <v>29</v>
      </c>
      <c r="C1354" s="30">
        <v>0.25</v>
      </c>
      <c r="D1354" s="28">
        <f>YEAR(TableauFlitrage[[#This Row],[Date_d_adjudication]])</f>
        <v>2022</v>
      </c>
      <c r="E1354" s="28">
        <f t="shared" si="22"/>
        <v>6</v>
      </c>
      <c r="F1354" s="15">
        <v>44713</v>
      </c>
      <c r="G1354" s="28">
        <v>98.636546999999993</v>
      </c>
      <c r="H1354" s="15">
        <v>44806</v>
      </c>
      <c r="I1354">
        <v>114.75</v>
      </c>
      <c r="J1354">
        <v>8000</v>
      </c>
      <c r="K1354" s="28">
        <v>5.4683999999999999</v>
      </c>
    </row>
    <row r="1355" spans="1:12" ht="15" customHeight="1" x14ac:dyDescent="0.2">
      <c r="A1355" s="28" t="s">
        <v>11</v>
      </c>
      <c r="B1355" s="2" t="s">
        <v>29</v>
      </c>
      <c r="C1355" s="30">
        <v>0.5</v>
      </c>
      <c r="D1355" s="28">
        <f>YEAR(TableauFlitrage[[#This Row],[Date_d_adjudication]])</f>
        <v>2022</v>
      </c>
      <c r="E1355" s="28">
        <f t="shared" si="22"/>
        <v>6</v>
      </c>
      <c r="F1355" s="15">
        <v>44713</v>
      </c>
      <c r="G1355" s="28">
        <v>96.693674999999999</v>
      </c>
      <c r="H1355" s="15">
        <v>44897</v>
      </c>
      <c r="I1355">
        <v>35.706099999999999</v>
      </c>
      <c r="J1355">
        <v>35022</v>
      </c>
      <c r="K1355" s="28">
        <v>6.7636000000000003</v>
      </c>
    </row>
    <row r="1356" spans="1:12" ht="15" customHeight="1" x14ac:dyDescent="0.2">
      <c r="A1356" s="28" t="s">
        <v>11</v>
      </c>
      <c r="B1356" t="s">
        <v>30</v>
      </c>
      <c r="C1356" s="30" t="s">
        <v>53</v>
      </c>
      <c r="D1356" s="28">
        <f>YEAR(TableauFlitrage[[#This Row],[Date_d_adjudication]])</f>
        <v>2022</v>
      </c>
      <c r="E1356" s="28">
        <f t="shared" si="22"/>
        <v>6</v>
      </c>
      <c r="F1356" s="15">
        <v>44713</v>
      </c>
      <c r="G1356" s="28">
        <v>91.4024</v>
      </c>
      <c r="H1356" s="15">
        <v>45446</v>
      </c>
      <c r="I1356">
        <v>54.467100000000002</v>
      </c>
      <c r="J1356">
        <v>35000</v>
      </c>
      <c r="K1356" s="28">
        <v>6.5</v>
      </c>
      <c r="L1356">
        <v>11.43</v>
      </c>
    </row>
    <row r="1357" spans="1:12" ht="19.5" customHeight="1" x14ac:dyDescent="0.2">
      <c r="A1357" s="28" t="s">
        <v>8</v>
      </c>
      <c r="B1357" s="2" t="s">
        <v>29</v>
      </c>
      <c r="C1357" s="30">
        <v>0.5</v>
      </c>
      <c r="D1357" s="28">
        <f>YEAR(TableauFlitrage[[#This Row],[Date_d_adjudication]])</f>
        <v>2022</v>
      </c>
      <c r="E1357" s="28">
        <f t="shared" si="22"/>
        <v>6</v>
      </c>
      <c r="F1357" s="15">
        <v>44719</v>
      </c>
      <c r="G1357" s="28">
        <v>96.581461000000004</v>
      </c>
      <c r="H1357" s="15">
        <v>44903</v>
      </c>
      <c r="I1357">
        <v>95.509100000000004</v>
      </c>
      <c r="J1357">
        <v>11000</v>
      </c>
      <c r="K1357" s="28">
        <v>7.0012999999999996</v>
      </c>
    </row>
    <row r="1358" spans="1:12" ht="15" customHeight="1" x14ac:dyDescent="0.2">
      <c r="A1358" s="28" t="s">
        <v>9</v>
      </c>
      <c r="B1358" s="2" t="s">
        <v>29</v>
      </c>
      <c r="C1358" s="30">
        <v>1</v>
      </c>
      <c r="D1358" s="28">
        <f>YEAR(TableauFlitrage[[#This Row],[Date_d_adjudication]])</f>
        <v>2022</v>
      </c>
      <c r="E1358" s="28">
        <f t="shared" si="22"/>
        <v>6</v>
      </c>
      <c r="F1358" s="15">
        <v>44720</v>
      </c>
      <c r="G1358" s="28">
        <v>93.870518000000004</v>
      </c>
      <c r="H1358" s="15">
        <v>45086</v>
      </c>
      <c r="I1358">
        <v>112.575</v>
      </c>
      <c r="J1358">
        <v>12000</v>
      </c>
      <c r="K1358" s="28">
        <v>6.4580000000000002</v>
      </c>
    </row>
    <row r="1359" spans="1:12" ht="15" customHeight="1" x14ac:dyDescent="0.2">
      <c r="A1359" s="28" t="s">
        <v>11</v>
      </c>
      <c r="B1359" s="2" t="s">
        <v>29</v>
      </c>
      <c r="C1359" s="30">
        <v>0.5</v>
      </c>
      <c r="D1359" s="28">
        <f>YEAR(TableauFlitrage[[#This Row],[Date_d_adjudication]])</f>
        <v>2022</v>
      </c>
      <c r="E1359" s="28">
        <f t="shared" si="22"/>
        <v>6</v>
      </c>
      <c r="F1359" s="15">
        <v>44720</v>
      </c>
      <c r="G1359" s="28">
        <v>96.712143999999995</v>
      </c>
      <c r="H1359" s="15">
        <v>44904</v>
      </c>
      <c r="I1359">
        <v>10.14</v>
      </c>
      <c r="J1359">
        <v>20000</v>
      </c>
      <c r="K1359" s="28">
        <v>6.7244999999999999</v>
      </c>
    </row>
    <row r="1360" spans="1:12" ht="15" customHeight="1" x14ac:dyDescent="0.2">
      <c r="A1360" s="28" t="s">
        <v>9</v>
      </c>
      <c r="B1360" t="s">
        <v>30</v>
      </c>
      <c r="C1360" s="30" t="s">
        <v>56</v>
      </c>
      <c r="D1360" s="28">
        <f>YEAR(TableauFlitrage[[#This Row],[Date_d_adjudication]])</f>
        <v>2022</v>
      </c>
      <c r="E1360" s="28">
        <f t="shared" si="22"/>
        <v>6</v>
      </c>
      <c r="F1360" s="15">
        <v>44720</v>
      </c>
      <c r="G1360" s="28">
        <v>89.567800000000005</v>
      </c>
      <c r="H1360" s="15">
        <v>46162</v>
      </c>
      <c r="I1360">
        <v>43.644399999999997</v>
      </c>
      <c r="J1360">
        <v>22500</v>
      </c>
      <c r="K1360" s="28">
        <v>5.75</v>
      </c>
      <c r="L1360">
        <v>8.91</v>
      </c>
    </row>
    <row r="1361" spans="1:12" ht="15" customHeight="1" x14ac:dyDescent="0.2">
      <c r="A1361" s="28" t="s">
        <v>11</v>
      </c>
      <c r="B1361" t="s">
        <v>30</v>
      </c>
      <c r="C1361" s="30" t="s">
        <v>54</v>
      </c>
      <c r="D1361" s="28">
        <f>YEAR(TableauFlitrage[[#This Row],[Date_d_adjudication]])</f>
        <v>2022</v>
      </c>
      <c r="E1361" s="28">
        <f t="shared" si="22"/>
        <v>6</v>
      </c>
      <c r="F1361" s="15">
        <v>44720</v>
      </c>
      <c r="G1361" s="28">
        <v>90.702399999999997</v>
      </c>
      <c r="H1361" s="15">
        <v>45818</v>
      </c>
      <c r="I1361">
        <v>70.052000000000007</v>
      </c>
      <c r="J1361">
        <v>25000</v>
      </c>
      <c r="K1361" s="28">
        <v>6.5</v>
      </c>
      <c r="L1361">
        <v>10.17</v>
      </c>
    </row>
    <row r="1362" spans="1:12" ht="15" customHeight="1" x14ac:dyDescent="0.2">
      <c r="A1362" s="28" t="s">
        <v>8</v>
      </c>
      <c r="B1362" s="2" t="s">
        <v>29</v>
      </c>
      <c r="C1362" s="30">
        <v>0.25</v>
      </c>
      <c r="D1362" s="28">
        <f>YEAR(TableauFlitrage[[#This Row],[Date_d_adjudication]])</f>
        <v>2022</v>
      </c>
      <c r="E1362" s="28">
        <f t="shared" si="22"/>
        <v>6</v>
      </c>
      <c r="F1362" s="15">
        <v>44726</v>
      </c>
      <c r="G1362" s="28">
        <v>98.445543000000001</v>
      </c>
      <c r="H1362" s="15">
        <v>44819</v>
      </c>
      <c r="I1362">
        <v>135.01</v>
      </c>
      <c r="J1362">
        <v>10000</v>
      </c>
      <c r="K1362" s="28">
        <v>6.2465999999999999</v>
      </c>
    </row>
    <row r="1363" spans="1:12" ht="15" customHeight="1" x14ac:dyDescent="0.2">
      <c r="A1363" s="28" t="s">
        <v>8</v>
      </c>
      <c r="B1363" t="s">
        <v>30</v>
      </c>
      <c r="C1363" s="30" t="s">
        <v>54</v>
      </c>
      <c r="D1363" s="28">
        <f>YEAR(TableauFlitrage[[#This Row],[Date_d_adjudication]])</f>
        <v>2022</v>
      </c>
      <c r="E1363" s="28">
        <f t="shared" ref="E1363:E1423" si="23">MONTH(F1363)</f>
        <v>6</v>
      </c>
      <c r="F1363" s="15">
        <v>44726</v>
      </c>
      <c r="G1363" s="28">
        <v>92.006100000000004</v>
      </c>
      <c r="H1363" s="15">
        <v>45823</v>
      </c>
      <c r="I1363">
        <v>41.1</v>
      </c>
      <c r="J1363">
        <v>10000</v>
      </c>
      <c r="K1363" s="28">
        <v>5.75</v>
      </c>
      <c r="L1363">
        <v>8.84</v>
      </c>
    </row>
    <row r="1364" spans="1:12" ht="15" customHeight="1" x14ac:dyDescent="0.2">
      <c r="A1364" s="28" t="s">
        <v>9</v>
      </c>
      <c r="B1364" s="2" t="s">
        <v>29</v>
      </c>
      <c r="C1364" s="30">
        <v>0.5</v>
      </c>
      <c r="D1364" s="28">
        <f>YEAR(TableauFlitrage[[#This Row],[Date_d_adjudication]])</f>
        <v>2022</v>
      </c>
      <c r="E1364" s="28">
        <f t="shared" si="23"/>
        <v>6</v>
      </c>
      <c r="F1364" s="15">
        <v>44727</v>
      </c>
      <c r="G1364" s="28">
        <v>96.999047000000004</v>
      </c>
      <c r="H1364" s="15">
        <v>44911</v>
      </c>
      <c r="I1364">
        <v>99.575000000000003</v>
      </c>
      <c r="J1364">
        <v>8000</v>
      </c>
      <c r="K1364" s="28">
        <v>6.1196000000000002</v>
      </c>
    </row>
    <row r="1365" spans="1:12" ht="15" customHeight="1" x14ac:dyDescent="0.2">
      <c r="A1365" s="28" t="s">
        <v>11</v>
      </c>
      <c r="B1365" s="2" t="s">
        <v>29</v>
      </c>
      <c r="C1365" s="30">
        <v>0.5</v>
      </c>
      <c r="D1365" s="28">
        <f>YEAR(TableauFlitrage[[#This Row],[Date_d_adjudication]])</f>
        <v>2022</v>
      </c>
      <c r="E1365" s="28">
        <f t="shared" si="23"/>
        <v>6</v>
      </c>
      <c r="F1365" s="15">
        <v>44727</v>
      </c>
      <c r="G1365" s="28">
        <v>96.639302000000001</v>
      </c>
      <c r="H1365" s="15">
        <v>44911</v>
      </c>
      <c r="I1365">
        <v>71.599400000000003</v>
      </c>
      <c r="J1365">
        <v>42742</v>
      </c>
      <c r="K1365" s="28">
        <v>6.8787000000000003</v>
      </c>
    </row>
    <row r="1366" spans="1:12" ht="15" customHeight="1" x14ac:dyDescent="0.2">
      <c r="A1366" s="28" t="s">
        <v>11</v>
      </c>
      <c r="B1366" t="s">
        <v>30</v>
      </c>
      <c r="C1366" s="30" t="s">
        <v>53</v>
      </c>
      <c r="D1366" s="28">
        <f>YEAR(TableauFlitrage[[#This Row],[Date_d_adjudication]])</f>
        <v>2022</v>
      </c>
      <c r="E1366" s="28">
        <f t="shared" si="23"/>
        <v>6</v>
      </c>
      <c r="F1366" s="15">
        <v>44727</v>
      </c>
      <c r="G1366" s="28">
        <v>91.157899999999998</v>
      </c>
      <c r="H1366" s="15">
        <v>45460</v>
      </c>
      <c r="I1366">
        <v>52.630299999999998</v>
      </c>
      <c r="J1366">
        <v>50000</v>
      </c>
      <c r="K1366" s="28">
        <v>6.5</v>
      </c>
      <c r="L1366">
        <v>11.58</v>
      </c>
    </row>
    <row r="1367" spans="1:12" ht="15" customHeight="1" x14ac:dyDescent="0.2">
      <c r="A1367" s="28" t="s">
        <v>7</v>
      </c>
      <c r="B1367" s="2" t="s">
        <v>29</v>
      </c>
      <c r="C1367" s="30">
        <v>0.5</v>
      </c>
      <c r="D1367" s="28">
        <f>YEAR(TableauFlitrage[[#This Row],[Date_d_adjudication]])</f>
        <v>2022</v>
      </c>
      <c r="E1367" s="28">
        <f t="shared" si="23"/>
        <v>6</v>
      </c>
      <c r="F1367" s="15">
        <v>44732</v>
      </c>
      <c r="G1367" s="28">
        <v>98.731055999999995</v>
      </c>
      <c r="H1367" s="15">
        <v>44916</v>
      </c>
      <c r="I1367">
        <v>245</v>
      </c>
      <c r="J1367">
        <v>10000</v>
      </c>
      <c r="K1367" s="28">
        <v>2.5423</v>
      </c>
    </row>
    <row r="1368" spans="1:12" ht="15" customHeight="1" x14ac:dyDescent="0.2">
      <c r="A1368" s="28" t="s">
        <v>8</v>
      </c>
      <c r="B1368" s="2" t="s">
        <v>29</v>
      </c>
      <c r="C1368" s="30">
        <v>0.25</v>
      </c>
      <c r="D1368" s="28">
        <f>YEAR(TableauFlitrage[[#This Row],[Date_d_adjudication]])</f>
        <v>2022</v>
      </c>
      <c r="E1368" s="28">
        <f t="shared" si="23"/>
        <v>6</v>
      </c>
      <c r="F1368" s="15">
        <v>44733</v>
      </c>
      <c r="G1368" s="28">
        <v>98.483823000000001</v>
      </c>
      <c r="H1368" s="15">
        <v>44819</v>
      </c>
      <c r="I1368">
        <v>140.22</v>
      </c>
      <c r="J1368">
        <v>5000</v>
      </c>
      <c r="K1368" s="28">
        <v>6.5979000000000001</v>
      </c>
    </row>
    <row r="1369" spans="1:12" ht="15" customHeight="1" x14ac:dyDescent="0.2">
      <c r="A1369" s="28" t="s">
        <v>8</v>
      </c>
      <c r="B1369" t="s">
        <v>30</v>
      </c>
      <c r="C1369" s="30" t="s">
        <v>54</v>
      </c>
      <c r="D1369" s="28">
        <f>YEAR(TableauFlitrage[[#This Row],[Date_d_adjudication]])</f>
        <v>2022</v>
      </c>
      <c r="E1369" s="28">
        <f t="shared" si="23"/>
        <v>6</v>
      </c>
      <c r="F1369" s="15">
        <v>44733</v>
      </c>
      <c r="G1369" s="28">
        <v>92.627399999999994</v>
      </c>
      <c r="H1369" s="15">
        <v>45810</v>
      </c>
      <c r="I1369">
        <v>29.1005</v>
      </c>
      <c r="J1369">
        <v>10000</v>
      </c>
      <c r="K1369" s="28">
        <v>6</v>
      </c>
      <c r="L1369">
        <v>8.85</v>
      </c>
    </row>
    <row r="1370" spans="1:12" ht="15" customHeight="1" x14ac:dyDescent="0.2">
      <c r="A1370" s="28" t="s">
        <v>9</v>
      </c>
      <c r="B1370" s="2" t="s">
        <v>29</v>
      </c>
      <c r="C1370" s="30">
        <v>0.5</v>
      </c>
      <c r="D1370" s="28">
        <f>YEAR(TableauFlitrage[[#This Row],[Date_d_adjudication]])</f>
        <v>2022</v>
      </c>
      <c r="E1370" s="28">
        <f t="shared" si="23"/>
        <v>6</v>
      </c>
      <c r="F1370" s="15">
        <v>44734</v>
      </c>
      <c r="G1370" s="28">
        <v>97.014167999999998</v>
      </c>
      <c r="H1370" s="15">
        <v>44918</v>
      </c>
      <c r="I1370">
        <v>108.38330000000001</v>
      </c>
      <c r="J1370">
        <v>12000</v>
      </c>
      <c r="K1370" s="28">
        <v>6.0877999999999997</v>
      </c>
    </row>
    <row r="1371" spans="1:12" ht="15" customHeight="1" x14ac:dyDescent="0.2">
      <c r="A1371" s="28" t="s">
        <v>11</v>
      </c>
      <c r="B1371" s="2" t="s">
        <v>29</v>
      </c>
      <c r="C1371" s="30">
        <v>0.5</v>
      </c>
      <c r="D1371" s="28">
        <f>YEAR(TableauFlitrage[[#This Row],[Date_d_adjudication]])</f>
        <v>2022</v>
      </c>
      <c r="E1371" s="28">
        <f t="shared" si="23"/>
        <v>6</v>
      </c>
      <c r="F1371" s="15">
        <v>44734</v>
      </c>
      <c r="G1371" s="28">
        <v>96.714361999999994</v>
      </c>
      <c r="H1371" s="15">
        <v>44918</v>
      </c>
      <c r="I1371">
        <v>79.501499999999993</v>
      </c>
      <c r="J1371">
        <v>20260</v>
      </c>
      <c r="K1371" s="28">
        <v>6.7199</v>
      </c>
    </row>
    <row r="1372" spans="1:12" ht="15" customHeight="1" x14ac:dyDescent="0.2">
      <c r="A1372" s="28" t="s">
        <v>9</v>
      </c>
      <c r="B1372" t="s">
        <v>30</v>
      </c>
      <c r="C1372" s="30" t="s">
        <v>54</v>
      </c>
      <c r="D1372" s="28">
        <f>YEAR(TableauFlitrage[[#This Row],[Date_d_adjudication]])</f>
        <v>2022</v>
      </c>
      <c r="E1372" s="28">
        <f t="shared" si="23"/>
        <v>6</v>
      </c>
      <c r="F1372" s="15">
        <v>44734</v>
      </c>
      <c r="G1372" s="28">
        <v>95.433199999999999</v>
      </c>
      <c r="H1372" s="15">
        <v>45566</v>
      </c>
      <c r="I1372">
        <v>204.29599999999999</v>
      </c>
      <c r="J1372">
        <v>20000</v>
      </c>
      <c r="K1372" s="28">
        <v>5.25</v>
      </c>
      <c r="L1372">
        <v>7.76</v>
      </c>
    </row>
    <row r="1373" spans="1:12" ht="15" customHeight="1" x14ac:dyDescent="0.2">
      <c r="A1373" s="28" t="s">
        <v>11</v>
      </c>
      <c r="B1373" t="s">
        <v>30</v>
      </c>
      <c r="C1373" s="30" t="s">
        <v>53</v>
      </c>
      <c r="D1373" s="28">
        <f>YEAR(TableauFlitrage[[#This Row],[Date_d_adjudication]])</f>
        <v>2022</v>
      </c>
      <c r="E1373" s="28">
        <f t="shared" si="23"/>
        <v>6</v>
      </c>
      <c r="F1373" s="15">
        <v>44734</v>
      </c>
      <c r="G1373" s="28">
        <v>90.218800000000002</v>
      </c>
      <c r="H1373" s="15">
        <v>45467</v>
      </c>
      <c r="I1373">
        <v>40.65</v>
      </c>
      <c r="J1373">
        <v>20000</v>
      </c>
      <c r="K1373" s="28">
        <v>6.5</v>
      </c>
      <c r="L1373">
        <v>12.16</v>
      </c>
    </row>
    <row r="1374" spans="1:12" ht="15" customHeight="1" x14ac:dyDescent="0.2">
      <c r="A1374" s="28" t="s">
        <v>7</v>
      </c>
      <c r="B1374" s="2" t="s">
        <v>29</v>
      </c>
      <c r="C1374" s="30">
        <v>0.5</v>
      </c>
      <c r="D1374" s="28">
        <f>YEAR(TableauFlitrage[[#This Row],[Date_d_adjudication]])</f>
        <v>2022</v>
      </c>
      <c r="E1374" s="28">
        <f t="shared" si="23"/>
        <v>6</v>
      </c>
      <c r="F1374" s="15">
        <v>44739</v>
      </c>
      <c r="G1374" s="28">
        <v>98.595692999999997</v>
      </c>
      <c r="H1374" s="15">
        <v>44923</v>
      </c>
      <c r="I1374">
        <v>130</v>
      </c>
      <c r="J1374">
        <v>10000</v>
      </c>
      <c r="K1374" s="28">
        <v>2.8172999999999999</v>
      </c>
    </row>
    <row r="1375" spans="1:12" ht="15" customHeight="1" x14ac:dyDescent="0.2">
      <c r="A1375" s="28" t="s">
        <v>8</v>
      </c>
      <c r="B1375" s="2" t="s">
        <v>29</v>
      </c>
      <c r="C1375" s="30">
        <v>0.5</v>
      </c>
      <c r="D1375" s="28">
        <f>YEAR(TableauFlitrage[[#This Row],[Date_d_adjudication]])</f>
        <v>2022</v>
      </c>
      <c r="E1375" s="28">
        <f t="shared" si="23"/>
        <v>6</v>
      </c>
      <c r="F1375" s="15">
        <v>44740</v>
      </c>
      <c r="G1375" s="28">
        <v>96.658092999999994</v>
      </c>
      <c r="H1375" s="15">
        <v>44924</v>
      </c>
      <c r="I1375">
        <v>75.546199999999999</v>
      </c>
      <c r="J1375">
        <v>13000</v>
      </c>
      <c r="K1375" s="28">
        <v>6.8388999999999998</v>
      </c>
    </row>
    <row r="1376" spans="1:12" ht="15" customHeight="1" x14ac:dyDescent="0.2">
      <c r="A1376" s="28" t="s">
        <v>10</v>
      </c>
      <c r="B1376" s="2" t="s">
        <v>29</v>
      </c>
      <c r="C1376" s="30">
        <v>1</v>
      </c>
      <c r="D1376" s="28">
        <f>YEAR(TableauFlitrage[[#This Row],[Date_d_adjudication]])</f>
        <v>2022</v>
      </c>
      <c r="E1376" s="28">
        <f t="shared" si="23"/>
        <v>6</v>
      </c>
      <c r="F1376" s="15">
        <v>44740</v>
      </c>
      <c r="G1376" s="28">
        <v>92.335070000000002</v>
      </c>
      <c r="H1376" s="15">
        <v>45106</v>
      </c>
      <c r="I1376">
        <v>112.875</v>
      </c>
      <c r="J1376">
        <v>20000</v>
      </c>
      <c r="K1376" s="28">
        <v>8.2100000000000009</v>
      </c>
    </row>
    <row r="1377" spans="1:12" ht="15" customHeight="1" x14ac:dyDescent="0.2">
      <c r="A1377" s="28" t="s">
        <v>8</v>
      </c>
      <c r="B1377" t="s">
        <v>30</v>
      </c>
      <c r="C1377" s="30" t="s">
        <v>54</v>
      </c>
      <c r="D1377" s="28">
        <f>YEAR(TableauFlitrage[[#This Row],[Date_d_adjudication]])</f>
        <v>2022</v>
      </c>
      <c r="E1377" s="28">
        <f t="shared" si="23"/>
        <v>6</v>
      </c>
      <c r="F1377" s="15">
        <v>44740</v>
      </c>
      <c r="G1377" s="28">
        <v>91.000699999999995</v>
      </c>
      <c r="H1377" s="15">
        <v>45823</v>
      </c>
      <c r="I1377">
        <v>34.904000000000003</v>
      </c>
      <c r="J1377">
        <v>20000</v>
      </c>
      <c r="K1377" s="28">
        <v>5.75</v>
      </c>
      <c r="L1377">
        <v>9.25</v>
      </c>
    </row>
    <row r="1378" spans="1:12" ht="15" customHeight="1" x14ac:dyDescent="0.2">
      <c r="A1378" s="28" t="s">
        <v>9</v>
      </c>
      <c r="B1378" s="2" t="s">
        <v>29</v>
      </c>
      <c r="C1378" s="30">
        <v>0.25</v>
      </c>
      <c r="D1378" s="28">
        <f>YEAR(TableauFlitrage[[#This Row],[Date_d_adjudication]])</f>
        <v>2022</v>
      </c>
      <c r="E1378" s="28">
        <f t="shared" si="23"/>
        <v>6</v>
      </c>
      <c r="F1378" s="15">
        <v>44741</v>
      </c>
      <c r="G1378" s="28">
        <v>98.515922000000003</v>
      </c>
      <c r="H1378" s="15">
        <v>44834</v>
      </c>
      <c r="I1378">
        <v>89.327299999999994</v>
      </c>
      <c r="J1378">
        <v>11000</v>
      </c>
      <c r="K1378" s="28">
        <v>5.9595000000000002</v>
      </c>
    </row>
    <row r="1379" spans="1:12" ht="15" customHeight="1" x14ac:dyDescent="0.2">
      <c r="A1379" s="28" t="s">
        <v>14</v>
      </c>
      <c r="B1379" t="s">
        <v>30</v>
      </c>
      <c r="C1379" s="30" t="s">
        <v>54</v>
      </c>
      <c r="D1379" s="28">
        <f>YEAR(TableauFlitrage[[#This Row],[Date_d_adjudication]])</f>
        <v>2022</v>
      </c>
      <c r="E1379" s="28">
        <f t="shared" si="23"/>
        <v>7</v>
      </c>
      <c r="F1379" s="15">
        <v>44746</v>
      </c>
      <c r="G1379" s="28">
        <v>86.298400000000001</v>
      </c>
      <c r="H1379" s="15">
        <v>45788</v>
      </c>
      <c r="I1379">
        <v>93.081299999999999</v>
      </c>
      <c r="J1379">
        <v>8000</v>
      </c>
      <c r="K1379" s="28">
        <v>6.5</v>
      </c>
      <c r="L1379">
        <v>12.08</v>
      </c>
    </row>
    <row r="1380" spans="1:12" ht="15" customHeight="1" x14ac:dyDescent="0.2">
      <c r="A1380" s="28" t="s">
        <v>8</v>
      </c>
      <c r="B1380" s="2" t="s">
        <v>29</v>
      </c>
      <c r="C1380" s="30">
        <v>0.25</v>
      </c>
      <c r="D1380" s="28">
        <f>YEAR(TableauFlitrage[[#This Row],[Date_d_adjudication]])</f>
        <v>2022</v>
      </c>
      <c r="E1380" s="28">
        <f t="shared" si="23"/>
        <v>7</v>
      </c>
      <c r="F1380" s="15">
        <v>44747</v>
      </c>
      <c r="G1380" s="28">
        <v>98.484677000000005</v>
      </c>
      <c r="H1380" s="15">
        <v>44840</v>
      </c>
      <c r="I1380">
        <v>125.51430000000001</v>
      </c>
      <c r="J1380">
        <v>7000</v>
      </c>
      <c r="K1380" s="28">
        <v>6.0869</v>
      </c>
    </row>
    <row r="1381" spans="1:12" ht="15" customHeight="1" x14ac:dyDescent="0.2">
      <c r="A1381" s="28" t="s">
        <v>8</v>
      </c>
      <c r="B1381" t="s">
        <v>30</v>
      </c>
      <c r="C1381" s="30" t="s">
        <v>53</v>
      </c>
      <c r="D1381" s="28">
        <f>YEAR(TableauFlitrage[[#This Row],[Date_d_adjudication]])</f>
        <v>2022</v>
      </c>
      <c r="E1381" s="28">
        <f t="shared" si="23"/>
        <v>7</v>
      </c>
      <c r="F1381" s="15">
        <v>44747</v>
      </c>
      <c r="G1381" s="28">
        <v>92.525800000000004</v>
      </c>
      <c r="H1381" s="15">
        <v>45480</v>
      </c>
      <c r="I1381">
        <v>106.7</v>
      </c>
      <c r="J1381">
        <v>10000</v>
      </c>
      <c r="K1381" s="28">
        <v>5.25</v>
      </c>
      <c r="L1381">
        <v>9.44</v>
      </c>
    </row>
    <row r="1382" spans="1:12" ht="15" customHeight="1" x14ac:dyDescent="0.2">
      <c r="A1382" s="28" t="s">
        <v>9</v>
      </c>
      <c r="B1382" s="2" t="s">
        <v>29</v>
      </c>
      <c r="C1382" s="30">
        <v>0.5</v>
      </c>
      <c r="D1382" s="28">
        <f>YEAR(TableauFlitrage[[#This Row],[Date_d_adjudication]])</f>
        <v>2022</v>
      </c>
      <c r="E1382" s="28">
        <f t="shared" si="23"/>
        <v>7</v>
      </c>
      <c r="F1382" s="15">
        <v>44748</v>
      </c>
      <c r="G1382" s="28">
        <v>97.044922</v>
      </c>
      <c r="H1382" s="15">
        <v>44932</v>
      </c>
      <c r="I1382">
        <v>124.85</v>
      </c>
      <c r="J1382">
        <v>12000</v>
      </c>
      <c r="K1382" s="28">
        <v>6.0232000000000001</v>
      </c>
    </row>
    <row r="1383" spans="1:12" ht="15" customHeight="1" x14ac:dyDescent="0.2">
      <c r="A1383" s="28" t="s">
        <v>11</v>
      </c>
      <c r="B1383" t="s">
        <v>30</v>
      </c>
      <c r="C1383" s="30" t="s">
        <v>53</v>
      </c>
      <c r="D1383" s="28">
        <f>YEAR(TableauFlitrage[[#This Row],[Date_d_adjudication]])</f>
        <v>2022</v>
      </c>
      <c r="E1383" s="28">
        <f t="shared" si="23"/>
        <v>7</v>
      </c>
      <c r="F1383" s="15">
        <v>44750</v>
      </c>
      <c r="G1383" s="28">
        <v>90.187399999999997</v>
      </c>
      <c r="H1383" s="15">
        <v>45481</v>
      </c>
      <c r="I1383">
        <v>52.663400000000003</v>
      </c>
      <c r="J1383">
        <v>40000</v>
      </c>
      <c r="K1383" s="28">
        <v>6.5</v>
      </c>
      <c r="L1383">
        <v>12.18</v>
      </c>
    </row>
    <row r="1384" spans="1:12" ht="15" customHeight="1" x14ac:dyDescent="0.2">
      <c r="A1384" s="28" t="s">
        <v>7</v>
      </c>
      <c r="B1384" s="2" t="s">
        <v>29</v>
      </c>
      <c r="C1384" s="30">
        <v>0.5</v>
      </c>
      <c r="D1384" s="28">
        <f>YEAR(TableauFlitrage[[#This Row],[Date_d_adjudication]])</f>
        <v>2022</v>
      </c>
      <c r="E1384" s="28">
        <f t="shared" si="23"/>
        <v>7</v>
      </c>
      <c r="F1384" s="15">
        <v>44753</v>
      </c>
      <c r="G1384" s="28">
        <v>98.533889000000002</v>
      </c>
      <c r="H1384" s="15">
        <v>44937</v>
      </c>
      <c r="I1384">
        <v>100</v>
      </c>
      <c r="J1384">
        <v>83000</v>
      </c>
      <c r="K1384" s="28">
        <v>2.9430999999999998</v>
      </c>
    </row>
    <row r="1385" spans="1:12" ht="15" customHeight="1" x14ac:dyDescent="0.2">
      <c r="A1385" s="28" t="s">
        <v>8</v>
      </c>
      <c r="B1385" s="2" t="s">
        <v>29</v>
      </c>
      <c r="C1385" s="30">
        <v>0.5</v>
      </c>
      <c r="D1385" s="28">
        <f>YEAR(TableauFlitrage[[#This Row],[Date_d_adjudication]])</f>
        <v>2022</v>
      </c>
      <c r="E1385" s="28">
        <f t="shared" si="23"/>
        <v>7</v>
      </c>
      <c r="F1385" s="15">
        <v>44754</v>
      </c>
      <c r="G1385" s="28">
        <v>96.866158999999996</v>
      </c>
      <c r="H1385" s="15">
        <v>44938</v>
      </c>
      <c r="I1385">
        <v>25.46</v>
      </c>
      <c r="J1385">
        <v>10000</v>
      </c>
      <c r="K1385" s="28">
        <v>6.3997999999999999</v>
      </c>
    </row>
    <row r="1386" spans="1:12" ht="15" customHeight="1" x14ac:dyDescent="0.2">
      <c r="A1386" s="28" t="s">
        <v>8</v>
      </c>
      <c r="B1386" t="s">
        <v>30</v>
      </c>
      <c r="C1386" s="30" t="s">
        <v>53</v>
      </c>
      <c r="D1386" s="28">
        <f>YEAR(TableauFlitrage[[#This Row],[Date_d_adjudication]])</f>
        <v>2022</v>
      </c>
      <c r="E1386" s="28">
        <f t="shared" si="23"/>
        <v>7</v>
      </c>
      <c r="F1386" s="15">
        <v>44754</v>
      </c>
      <c r="G1386" s="28">
        <v>92.329700000000003</v>
      </c>
      <c r="H1386" s="15">
        <v>45487</v>
      </c>
      <c r="I1386">
        <v>91.1</v>
      </c>
      <c r="J1386">
        <v>10000</v>
      </c>
      <c r="K1386" s="28">
        <v>5.25</v>
      </c>
      <c r="L1386">
        <v>9.5500000000000007</v>
      </c>
    </row>
    <row r="1387" spans="1:12" ht="15" customHeight="1" x14ac:dyDescent="0.2">
      <c r="A1387" s="28" t="s">
        <v>9</v>
      </c>
      <c r="B1387" s="2" t="s">
        <v>29</v>
      </c>
      <c r="C1387" s="30">
        <v>0.5</v>
      </c>
      <c r="D1387" s="28">
        <f>YEAR(TableauFlitrage[[#This Row],[Date_d_adjudication]])</f>
        <v>2022</v>
      </c>
      <c r="E1387" s="28">
        <f t="shared" si="23"/>
        <v>7</v>
      </c>
      <c r="F1387" s="15">
        <v>44755</v>
      </c>
      <c r="G1387" s="28">
        <v>97.024348000000003</v>
      </c>
      <c r="H1387" s="15">
        <v>44939</v>
      </c>
      <c r="I1387">
        <v>177.87620000000001</v>
      </c>
      <c r="J1387">
        <v>10500</v>
      </c>
      <c r="K1387" s="28">
        <v>6</v>
      </c>
    </row>
    <row r="1388" spans="1:12" ht="15" customHeight="1" x14ac:dyDescent="0.2">
      <c r="A1388" s="28" t="s">
        <v>11</v>
      </c>
      <c r="B1388" s="2" t="s">
        <v>29</v>
      </c>
      <c r="C1388" s="30">
        <v>0.5</v>
      </c>
      <c r="D1388" s="28">
        <f>YEAR(TableauFlitrage[[#This Row],[Date_d_adjudication]])</f>
        <v>2022</v>
      </c>
      <c r="E1388" s="28">
        <f t="shared" si="23"/>
        <v>7</v>
      </c>
      <c r="F1388" s="15">
        <v>44755</v>
      </c>
      <c r="G1388" s="28">
        <v>96.720378999999994</v>
      </c>
      <c r="H1388" s="15">
        <v>44939</v>
      </c>
      <c r="I1388">
        <v>20.72</v>
      </c>
      <c r="J1388">
        <v>25000</v>
      </c>
      <c r="K1388" s="28">
        <v>6.7070999999999996</v>
      </c>
    </row>
    <row r="1389" spans="1:12" ht="15" customHeight="1" x14ac:dyDescent="0.2">
      <c r="A1389" s="28" t="s">
        <v>9</v>
      </c>
      <c r="B1389" t="s">
        <v>30</v>
      </c>
      <c r="C1389" s="30" t="s">
        <v>55</v>
      </c>
      <c r="D1389" s="28">
        <f>YEAR(TableauFlitrage[[#This Row],[Date_d_adjudication]])</f>
        <v>2022</v>
      </c>
      <c r="E1389" s="28">
        <f t="shared" si="23"/>
        <v>7</v>
      </c>
      <c r="F1389" s="15">
        <v>44755</v>
      </c>
      <c r="G1389" s="28">
        <v>101.21939999999999</v>
      </c>
      <c r="H1389" s="15">
        <v>45890</v>
      </c>
      <c r="I1389">
        <v>299.89600000000002</v>
      </c>
      <c r="J1389">
        <v>12500</v>
      </c>
      <c r="K1389" s="28">
        <v>7</v>
      </c>
      <c r="L1389">
        <v>6.55</v>
      </c>
    </row>
    <row r="1390" spans="1:12" ht="15" customHeight="1" x14ac:dyDescent="0.2">
      <c r="A1390" s="28" t="s">
        <v>9</v>
      </c>
      <c r="B1390" t="s">
        <v>30</v>
      </c>
      <c r="C1390" s="30" t="s">
        <v>54</v>
      </c>
      <c r="D1390" s="28">
        <f>YEAR(TableauFlitrage[[#This Row],[Date_d_adjudication]])</f>
        <v>2022</v>
      </c>
      <c r="E1390" s="28">
        <f t="shared" si="23"/>
        <v>7</v>
      </c>
      <c r="F1390" s="15">
        <v>44755</v>
      </c>
      <c r="G1390" s="28">
        <v>94.621399999999994</v>
      </c>
      <c r="H1390" s="15">
        <v>45468</v>
      </c>
      <c r="I1390">
        <v>183.1</v>
      </c>
      <c r="J1390">
        <v>10000</v>
      </c>
      <c r="K1390" s="28">
        <v>5.5</v>
      </c>
      <c r="L1390">
        <v>8.48</v>
      </c>
    </row>
    <row r="1391" spans="1:12" ht="15" customHeight="1" x14ac:dyDescent="0.2">
      <c r="A1391" s="28" t="s">
        <v>11</v>
      </c>
      <c r="B1391" t="s">
        <v>30</v>
      </c>
      <c r="C1391" s="30" t="s">
        <v>53</v>
      </c>
      <c r="D1391" s="28">
        <f>YEAR(TableauFlitrage[[#This Row],[Date_d_adjudication]])</f>
        <v>2022</v>
      </c>
      <c r="E1391" s="28">
        <f t="shared" si="23"/>
        <v>7</v>
      </c>
      <c r="F1391" s="15">
        <v>44755</v>
      </c>
      <c r="G1391" s="28">
        <v>90.578800000000001</v>
      </c>
      <c r="H1391" s="15">
        <v>45488</v>
      </c>
      <c r="I1391">
        <v>73.400000000000006</v>
      </c>
      <c r="J1391">
        <v>25000</v>
      </c>
      <c r="K1391" s="28">
        <v>6.5</v>
      </c>
      <c r="L1391">
        <v>11.93</v>
      </c>
    </row>
    <row r="1392" spans="1:12" ht="15" customHeight="1" x14ac:dyDescent="0.2">
      <c r="A1392" s="28" t="s">
        <v>8</v>
      </c>
      <c r="B1392" s="2" t="s">
        <v>29</v>
      </c>
      <c r="C1392" s="30">
        <v>1</v>
      </c>
      <c r="D1392" s="28">
        <f>YEAR(TableauFlitrage[[#This Row],[Date_d_adjudication]])</f>
        <v>2022</v>
      </c>
      <c r="E1392" s="28">
        <f t="shared" si="23"/>
        <v>7</v>
      </c>
      <c r="F1392" s="15">
        <v>44761</v>
      </c>
      <c r="G1392" s="28">
        <v>93.151492000000005</v>
      </c>
      <c r="H1392" s="15">
        <v>45127</v>
      </c>
      <c r="I1392">
        <v>131.65710000000001</v>
      </c>
      <c r="J1392">
        <v>7000</v>
      </c>
      <c r="K1392" s="28">
        <v>7.2712000000000003</v>
      </c>
    </row>
    <row r="1393" spans="1:12" ht="15" customHeight="1" x14ac:dyDescent="0.2">
      <c r="A1393" s="28" t="s">
        <v>9</v>
      </c>
      <c r="B1393" s="2" t="s">
        <v>29</v>
      </c>
      <c r="C1393" s="30">
        <v>0.25</v>
      </c>
      <c r="D1393" s="28">
        <f>YEAR(TableauFlitrage[[#This Row],[Date_d_adjudication]])</f>
        <v>2022</v>
      </c>
      <c r="E1393" s="28">
        <f t="shared" si="23"/>
        <v>7</v>
      </c>
      <c r="F1393" s="15">
        <v>44762</v>
      </c>
      <c r="G1393" s="28">
        <v>98.578048999999993</v>
      </c>
      <c r="H1393" s="15">
        <v>44855</v>
      </c>
      <c r="I1393">
        <v>143.74289999999999</v>
      </c>
      <c r="J1393">
        <v>10500</v>
      </c>
      <c r="K1393" s="28">
        <v>5.7064000000000004</v>
      </c>
    </row>
    <row r="1394" spans="1:12" ht="15" customHeight="1" x14ac:dyDescent="0.2">
      <c r="A1394" s="28" t="s">
        <v>11</v>
      </c>
      <c r="B1394" t="s">
        <v>30</v>
      </c>
      <c r="C1394" s="30" t="s">
        <v>54</v>
      </c>
      <c r="D1394" s="28">
        <f>YEAR(TableauFlitrage[[#This Row],[Date_d_adjudication]])</f>
        <v>2022</v>
      </c>
      <c r="E1394" s="28">
        <f t="shared" si="23"/>
        <v>7</v>
      </c>
      <c r="F1394" s="15">
        <v>44762</v>
      </c>
      <c r="G1394" s="28">
        <v>92.762600000000006</v>
      </c>
      <c r="H1394" s="15">
        <v>45860</v>
      </c>
      <c r="I1394">
        <v>120.075</v>
      </c>
      <c r="J1394">
        <v>20000</v>
      </c>
      <c r="K1394" s="28">
        <v>6.5</v>
      </c>
      <c r="L1394">
        <v>9.32</v>
      </c>
    </row>
    <row r="1395" spans="1:12" ht="15" customHeight="1" x14ac:dyDescent="0.2">
      <c r="A1395" s="28" t="s">
        <v>10</v>
      </c>
      <c r="B1395" s="2" t="s">
        <v>29</v>
      </c>
      <c r="C1395" s="30">
        <v>1</v>
      </c>
      <c r="D1395" s="28">
        <f>YEAR(TableauFlitrage[[#This Row],[Date_d_adjudication]])</f>
        <v>2022</v>
      </c>
      <c r="E1395" s="28">
        <f t="shared" si="23"/>
        <v>7</v>
      </c>
      <c r="F1395" s="15">
        <v>44768</v>
      </c>
      <c r="G1395" s="28">
        <v>92.429771000000002</v>
      </c>
      <c r="H1395" s="15">
        <v>45134</v>
      </c>
      <c r="I1395">
        <v>31.75</v>
      </c>
      <c r="J1395">
        <v>10000</v>
      </c>
      <c r="K1395" s="28">
        <v>8.1001999999999992</v>
      </c>
    </row>
    <row r="1396" spans="1:12" ht="15" customHeight="1" x14ac:dyDescent="0.2">
      <c r="A1396" s="28" t="s">
        <v>8</v>
      </c>
      <c r="B1396" t="s">
        <v>30</v>
      </c>
      <c r="C1396" s="30" t="s">
        <v>56</v>
      </c>
      <c r="D1396" s="28">
        <f>YEAR(TableauFlitrage[[#This Row],[Date_d_adjudication]])</f>
        <v>2022</v>
      </c>
      <c r="E1396" s="28">
        <f t="shared" si="23"/>
        <v>7</v>
      </c>
      <c r="F1396" s="15">
        <v>44768</v>
      </c>
      <c r="G1396" s="28">
        <v>92.636399999999995</v>
      </c>
      <c r="H1396" s="15">
        <v>45833</v>
      </c>
      <c r="I1396">
        <v>80.366699999999994</v>
      </c>
      <c r="J1396">
        <v>15000</v>
      </c>
      <c r="K1396" s="28">
        <v>6.25</v>
      </c>
      <c r="L1396">
        <v>9.11</v>
      </c>
    </row>
    <row r="1397" spans="1:12" ht="15" customHeight="1" x14ac:dyDescent="0.2">
      <c r="A1397" s="28" t="s">
        <v>9</v>
      </c>
      <c r="B1397" s="2" t="s">
        <v>29</v>
      </c>
      <c r="C1397" s="30">
        <v>0.25</v>
      </c>
      <c r="D1397" s="28">
        <f>YEAR(TableauFlitrage[[#This Row],[Date_d_adjudication]])</f>
        <v>2022</v>
      </c>
      <c r="E1397" s="28">
        <f t="shared" si="23"/>
        <v>7</v>
      </c>
      <c r="F1397" s="15">
        <v>44769</v>
      </c>
      <c r="G1397" s="28">
        <v>98.589451999999994</v>
      </c>
      <c r="H1397" s="15">
        <v>44862</v>
      </c>
      <c r="I1397">
        <v>350.34289999999999</v>
      </c>
      <c r="J1397">
        <v>10500</v>
      </c>
      <c r="K1397" s="28">
        <v>5.66</v>
      </c>
    </row>
    <row r="1398" spans="1:12" ht="15" customHeight="1" x14ac:dyDescent="0.2">
      <c r="A1398" s="28" t="s">
        <v>11</v>
      </c>
      <c r="B1398" s="2" t="s">
        <v>29</v>
      </c>
      <c r="C1398" s="30">
        <v>0.5</v>
      </c>
      <c r="D1398" s="28">
        <f>YEAR(TableauFlitrage[[#This Row],[Date_d_adjudication]])</f>
        <v>2022</v>
      </c>
      <c r="E1398" s="28">
        <f t="shared" si="23"/>
        <v>7</v>
      </c>
      <c r="F1398" s="15">
        <v>44769</v>
      </c>
      <c r="G1398" s="28">
        <v>96.697057000000001</v>
      </c>
      <c r="H1398" s="15">
        <v>44953</v>
      </c>
      <c r="I1398">
        <v>58.933300000000003</v>
      </c>
      <c r="J1398">
        <v>12000</v>
      </c>
      <c r="K1398" s="28">
        <v>6.7565</v>
      </c>
    </row>
    <row r="1399" spans="1:12" ht="15" customHeight="1" x14ac:dyDescent="0.2">
      <c r="A1399" s="28" t="s">
        <v>11</v>
      </c>
      <c r="B1399" t="s">
        <v>30</v>
      </c>
      <c r="C1399" s="30" t="s">
        <v>54</v>
      </c>
      <c r="D1399" s="28">
        <f>YEAR(TableauFlitrage[[#This Row],[Date_d_adjudication]])</f>
        <v>2022</v>
      </c>
      <c r="E1399" s="28">
        <f t="shared" si="23"/>
        <v>7</v>
      </c>
      <c r="F1399" s="15">
        <v>44769</v>
      </c>
      <c r="G1399" s="28">
        <v>92.310299999999998</v>
      </c>
      <c r="H1399" s="15">
        <v>45867</v>
      </c>
      <c r="I1399">
        <v>93.333299999999994</v>
      </c>
      <c r="J1399">
        <v>12000</v>
      </c>
      <c r="K1399" s="28">
        <v>6.5</v>
      </c>
      <c r="L1399">
        <v>9.51</v>
      </c>
    </row>
    <row r="1400" spans="1:12" ht="15" customHeight="1" x14ac:dyDescent="0.2">
      <c r="A1400" s="28" t="s">
        <v>7</v>
      </c>
      <c r="B1400" s="2" t="s">
        <v>29</v>
      </c>
      <c r="C1400" s="30">
        <v>1</v>
      </c>
      <c r="D1400" s="28">
        <f>YEAR(TableauFlitrage[[#This Row],[Date_d_adjudication]])</f>
        <v>2022</v>
      </c>
      <c r="E1400" s="28">
        <f t="shared" si="23"/>
        <v>8</v>
      </c>
      <c r="F1400" s="15">
        <v>44774</v>
      </c>
      <c r="G1400" s="28">
        <v>96.764443999999997</v>
      </c>
      <c r="H1400" s="15">
        <v>45140</v>
      </c>
      <c r="I1400">
        <v>23.4</v>
      </c>
      <c r="J1400">
        <v>15000</v>
      </c>
      <c r="K1400" s="28">
        <v>3.3069999999999999</v>
      </c>
    </row>
    <row r="1401" spans="1:12" ht="15" customHeight="1" x14ac:dyDescent="0.2">
      <c r="A1401" s="28" t="s">
        <v>8</v>
      </c>
      <c r="B1401" s="2" t="s">
        <v>29</v>
      </c>
      <c r="C1401" s="30">
        <v>0.5</v>
      </c>
      <c r="D1401" s="28">
        <f>YEAR(TableauFlitrage[[#This Row],[Date_d_adjudication]])</f>
        <v>2022</v>
      </c>
      <c r="E1401" s="28">
        <f t="shared" si="23"/>
        <v>8</v>
      </c>
      <c r="F1401" s="15">
        <v>44775</v>
      </c>
      <c r="G1401" s="28">
        <v>96.783990000000003</v>
      </c>
      <c r="H1401" s="15">
        <v>44959</v>
      </c>
      <c r="I1401">
        <v>79.684600000000003</v>
      </c>
      <c r="J1401">
        <v>13000</v>
      </c>
      <c r="K1401" s="28">
        <v>6.5727000000000002</v>
      </c>
    </row>
    <row r="1402" spans="1:12" ht="15" customHeight="1" x14ac:dyDescent="0.2">
      <c r="A1402" s="28" t="s">
        <v>9</v>
      </c>
      <c r="B1402" s="2" t="s">
        <v>29</v>
      </c>
      <c r="C1402" s="30">
        <v>1</v>
      </c>
      <c r="D1402" s="28">
        <f>YEAR(TableauFlitrage[[#This Row],[Date_d_adjudication]])</f>
        <v>2022</v>
      </c>
      <c r="E1402" s="28">
        <f t="shared" si="23"/>
        <v>8</v>
      </c>
      <c r="F1402" s="15">
        <v>44776</v>
      </c>
      <c r="G1402" s="28">
        <v>94.053070000000005</v>
      </c>
      <c r="H1402" s="15">
        <v>45142</v>
      </c>
      <c r="I1402">
        <v>184.2105</v>
      </c>
      <c r="J1402">
        <v>9500</v>
      </c>
      <c r="K1402" s="28">
        <v>6.2534999999999998</v>
      </c>
    </row>
    <row r="1403" spans="1:12" ht="15" customHeight="1" x14ac:dyDescent="0.2">
      <c r="A1403" s="28" t="s">
        <v>11</v>
      </c>
      <c r="B1403" s="2" t="s">
        <v>29</v>
      </c>
      <c r="C1403" s="30">
        <v>0.5</v>
      </c>
      <c r="D1403" s="28">
        <f>YEAR(TableauFlitrage[[#This Row],[Date_d_adjudication]])</f>
        <v>2022</v>
      </c>
      <c r="E1403" s="28">
        <f t="shared" si="23"/>
        <v>8</v>
      </c>
      <c r="F1403" s="15">
        <v>44776</v>
      </c>
      <c r="G1403" s="28">
        <v>96.636887999999999</v>
      </c>
      <c r="H1403" s="15">
        <v>44960</v>
      </c>
      <c r="I1403">
        <v>57.625</v>
      </c>
      <c r="J1403">
        <v>20000</v>
      </c>
      <c r="K1403" s="28">
        <v>6.8837999999999999</v>
      </c>
    </row>
    <row r="1404" spans="1:12" ht="15" customHeight="1" x14ac:dyDescent="0.2">
      <c r="A1404" s="28" t="s">
        <v>9</v>
      </c>
      <c r="B1404" t="s">
        <v>30</v>
      </c>
      <c r="C1404" s="30" t="s">
        <v>55</v>
      </c>
      <c r="D1404" s="28">
        <f>YEAR(TableauFlitrage[[#This Row],[Date_d_adjudication]])</f>
        <v>2022</v>
      </c>
      <c r="E1404" s="28">
        <f t="shared" si="23"/>
        <v>8</v>
      </c>
      <c r="F1404" s="15">
        <v>44776</v>
      </c>
      <c r="G1404" s="28">
        <v>90.055499999999995</v>
      </c>
      <c r="H1404" s="15">
        <v>46604</v>
      </c>
      <c r="I1404">
        <v>91.65</v>
      </c>
      <c r="J1404">
        <v>20000</v>
      </c>
      <c r="K1404" s="28">
        <v>6.25</v>
      </c>
      <c r="L1404">
        <v>8.75</v>
      </c>
    </row>
    <row r="1405" spans="1:12" ht="15" customHeight="1" x14ac:dyDescent="0.2">
      <c r="A1405" s="28" t="s">
        <v>11</v>
      </c>
      <c r="B1405" t="s">
        <v>30</v>
      </c>
      <c r="C1405" s="30" t="s">
        <v>54</v>
      </c>
      <c r="D1405" s="28">
        <f>YEAR(TableauFlitrage[[#This Row],[Date_d_adjudication]])</f>
        <v>2022</v>
      </c>
      <c r="E1405" s="28">
        <f t="shared" si="23"/>
        <v>8</v>
      </c>
      <c r="F1405" s="15">
        <v>44776</v>
      </c>
      <c r="G1405" s="28">
        <v>91.261700000000005</v>
      </c>
      <c r="H1405" s="15">
        <v>45874</v>
      </c>
      <c r="I1405">
        <v>13.275</v>
      </c>
      <c r="J1405">
        <v>20000</v>
      </c>
      <c r="K1405" s="28">
        <v>6.5</v>
      </c>
      <c r="L1405">
        <v>9.94</v>
      </c>
    </row>
    <row r="1406" spans="1:12" ht="15" customHeight="1" x14ac:dyDescent="0.2">
      <c r="A1406" s="28" t="s">
        <v>7</v>
      </c>
      <c r="B1406" s="2" t="s">
        <v>29</v>
      </c>
      <c r="C1406" s="30">
        <v>0.5</v>
      </c>
      <c r="D1406" s="28">
        <f>YEAR(TableauFlitrage[[#This Row],[Date_d_adjudication]])</f>
        <v>2022</v>
      </c>
      <c r="E1406" s="28">
        <f t="shared" si="23"/>
        <v>8</v>
      </c>
      <c r="F1406" s="15">
        <v>44781</v>
      </c>
      <c r="G1406" s="28">
        <v>98.553353000000001</v>
      </c>
      <c r="H1406" s="15">
        <v>44965</v>
      </c>
      <c r="I1406">
        <v>168.4</v>
      </c>
      <c r="J1406">
        <v>15000</v>
      </c>
      <c r="K1406" s="28">
        <v>2.9035000000000002</v>
      </c>
    </row>
    <row r="1407" spans="1:12" ht="15" customHeight="1" x14ac:dyDescent="0.2">
      <c r="A1407" s="28" t="s">
        <v>8</v>
      </c>
      <c r="B1407" s="2" t="s">
        <v>29</v>
      </c>
      <c r="C1407" s="30">
        <v>0.25</v>
      </c>
      <c r="D1407" s="28">
        <f>YEAR(TableauFlitrage[[#This Row],[Date_d_adjudication]])</f>
        <v>2022</v>
      </c>
      <c r="E1407" s="28">
        <f t="shared" si="23"/>
        <v>8</v>
      </c>
      <c r="F1407" s="15">
        <v>44782</v>
      </c>
      <c r="G1407" s="28">
        <v>98.473795999999993</v>
      </c>
      <c r="H1407" s="15">
        <v>44875</v>
      </c>
      <c r="I1407">
        <v>101</v>
      </c>
      <c r="J1407">
        <v>8000</v>
      </c>
      <c r="K1407" s="28">
        <v>6.1313000000000004</v>
      </c>
    </row>
    <row r="1408" spans="1:12" ht="15" customHeight="1" x14ac:dyDescent="0.2">
      <c r="A1408" s="28" t="s">
        <v>8</v>
      </c>
      <c r="B1408" t="s">
        <v>30</v>
      </c>
      <c r="C1408" s="30" t="s">
        <v>53</v>
      </c>
      <c r="D1408" s="28">
        <f>YEAR(TableauFlitrage[[#This Row],[Date_d_adjudication]])</f>
        <v>2022</v>
      </c>
      <c r="E1408" s="28">
        <f t="shared" si="23"/>
        <v>8</v>
      </c>
      <c r="F1408" s="15">
        <v>44782</v>
      </c>
      <c r="G1408" s="28">
        <v>92.489000000000004</v>
      </c>
      <c r="H1408" s="15">
        <v>45515</v>
      </c>
      <c r="I1408">
        <v>100.33</v>
      </c>
      <c r="J1408">
        <v>10000</v>
      </c>
      <c r="K1408" s="28">
        <v>5.25</v>
      </c>
      <c r="L1408">
        <v>9.4600000000000009</v>
      </c>
    </row>
    <row r="1409" spans="1:12" ht="15" customHeight="1" x14ac:dyDescent="0.2">
      <c r="A1409" s="28" t="s">
        <v>9</v>
      </c>
      <c r="B1409" s="2" t="s">
        <v>29</v>
      </c>
      <c r="C1409" s="30">
        <v>0.5</v>
      </c>
      <c r="D1409" s="28">
        <f>YEAR(TableauFlitrage[[#This Row],[Date_d_adjudication]])</f>
        <v>2022</v>
      </c>
      <c r="E1409" s="28">
        <f t="shared" si="23"/>
        <v>8</v>
      </c>
      <c r="F1409" s="15">
        <v>44783</v>
      </c>
      <c r="G1409" s="28">
        <v>97.096013999999997</v>
      </c>
      <c r="H1409" s="15">
        <v>44967</v>
      </c>
      <c r="I1409">
        <v>138.6174</v>
      </c>
      <c r="J1409">
        <v>11500</v>
      </c>
      <c r="K1409" s="28">
        <v>5.9158999999999997</v>
      </c>
    </row>
    <row r="1410" spans="1:12" ht="15" customHeight="1" x14ac:dyDescent="0.2">
      <c r="A1410" s="28" t="s">
        <v>11</v>
      </c>
      <c r="B1410" t="s">
        <v>30</v>
      </c>
      <c r="C1410" s="30" t="s">
        <v>54</v>
      </c>
      <c r="D1410" s="28">
        <f>YEAR(TableauFlitrage[[#This Row],[Date_d_adjudication]])</f>
        <v>2022</v>
      </c>
      <c r="E1410" s="28">
        <f t="shared" si="23"/>
        <v>8</v>
      </c>
      <c r="F1410" s="15">
        <v>44783</v>
      </c>
      <c r="G1410" s="28">
        <v>93</v>
      </c>
      <c r="H1410" s="15">
        <v>45879</v>
      </c>
      <c r="I1410">
        <v>117.5</v>
      </c>
      <c r="J1410">
        <v>8000</v>
      </c>
      <c r="K1410" s="28">
        <v>6.5</v>
      </c>
      <c r="L1410">
        <v>9.2200000000000006</v>
      </c>
    </row>
    <row r="1411" spans="1:12" ht="15" customHeight="1" x14ac:dyDescent="0.2">
      <c r="A1411" s="28" t="s">
        <v>8</v>
      </c>
      <c r="B1411" s="2" t="s">
        <v>29</v>
      </c>
      <c r="C1411" s="30">
        <v>1</v>
      </c>
      <c r="D1411" s="28">
        <f>YEAR(TableauFlitrage[[#This Row],[Date_d_adjudication]])</f>
        <v>2022</v>
      </c>
      <c r="E1411" s="28">
        <f t="shared" si="23"/>
        <v>8</v>
      </c>
      <c r="F1411" s="15">
        <v>44790</v>
      </c>
      <c r="G1411" s="28">
        <v>93.435085000000001</v>
      </c>
      <c r="H1411" s="15">
        <v>45155</v>
      </c>
      <c r="I1411">
        <v>33.375</v>
      </c>
      <c r="J1411">
        <v>12000</v>
      </c>
      <c r="K1411" s="28">
        <v>6.9489999999999998</v>
      </c>
    </row>
    <row r="1412" spans="1:12" ht="15" customHeight="1" x14ac:dyDescent="0.2">
      <c r="A1412" s="28" t="s">
        <v>9</v>
      </c>
      <c r="B1412" s="2" t="s">
        <v>29</v>
      </c>
      <c r="C1412" s="30">
        <v>0.25</v>
      </c>
      <c r="D1412" s="28">
        <f>YEAR(TableauFlitrage[[#This Row],[Date_d_adjudication]])</f>
        <v>2022</v>
      </c>
      <c r="E1412" s="28">
        <f t="shared" si="23"/>
        <v>8</v>
      </c>
      <c r="F1412" s="15">
        <v>44790</v>
      </c>
      <c r="G1412" s="28">
        <v>98.602688999999998</v>
      </c>
      <c r="H1412" s="15">
        <v>44883</v>
      </c>
      <c r="I1412">
        <v>46.25</v>
      </c>
      <c r="J1412">
        <v>12000</v>
      </c>
      <c r="K1412" s="28">
        <v>5.6062000000000003</v>
      </c>
    </row>
    <row r="1413" spans="1:12" ht="15" customHeight="1" x14ac:dyDescent="0.2">
      <c r="A1413" s="28" t="s">
        <v>11</v>
      </c>
      <c r="B1413" s="2" t="s">
        <v>29</v>
      </c>
      <c r="C1413" s="30">
        <v>1</v>
      </c>
      <c r="D1413" s="28">
        <f>YEAR(TableauFlitrage[[#This Row],[Date_d_adjudication]])</f>
        <v>2022</v>
      </c>
      <c r="E1413" s="28">
        <f t="shared" si="23"/>
        <v>8</v>
      </c>
      <c r="F1413" s="15">
        <v>44790</v>
      </c>
      <c r="G1413" s="28">
        <v>93.440471000000002</v>
      </c>
      <c r="H1413" s="15">
        <v>45156</v>
      </c>
      <c r="I1413">
        <v>23.1</v>
      </c>
      <c r="J1413">
        <v>20000</v>
      </c>
      <c r="K1413" s="28">
        <v>6.9428999999999998</v>
      </c>
    </row>
    <row r="1414" spans="1:12" ht="15" customHeight="1" x14ac:dyDescent="0.2">
      <c r="A1414" s="28" t="s">
        <v>11</v>
      </c>
      <c r="B1414" t="s">
        <v>30</v>
      </c>
      <c r="C1414" s="30" t="s">
        <v>54</v>
      </c>
      <c r="D1414" s="28">
        <f>YEAR(TableauFlitrage[[#This Row],[Date_d_adjudication]])</f>
        <v>2022</v>
      </c>
      <c r="E1414" s="28">
        <f t="shared" si="23"/>
        <v>8</v>
      </c>
      <c r="F1414" s="15">
        <v>44790</v>
      </c>
      <c r="G1414" s="28">
        <v>91.2363</v>
      </c>
      <c r="H1414" s="15">
        <v>45888</v>
      </c>
      <c r="I1414">
        <v>71.008600000000001</v>
      </c>
      <c r="J1414">
        <v>20000</v>
      </c>
      <c r="K1414" s="28">
        <v>6.5</v>
      </c>
      <c r="L1414">
        <v>9.9499999999999993</v>
      </c>
    </row>
    <row r="1415" spans="1:12" ht="15" customHeight="1" x14ac:dyDescent="0.2">
      <c r="A1415" s="28" t="s">
        <v>7</v>
      </c>
      <c r="B1415" s="2" t="s">
        <v>29</v>
      </c>
      <c r="C1415" s="30">
        <v>0.25</v>
      </c>
      <c r="D1415" s="28">
        <f>YEAR(TableauFlitrage[[#This Row],[Date_d_adjudication]])</f>
        <v>2022</v>
      </c>
      <c r="E1415" s="28">
        <f t="shared" si="23"/>
        <v>8</v>
      </c>
      <c r="F1415" s="15">
        <v>44795</v>
      </c>
      <c r="G1415" s="28">
        <v>99.367992000000001</v>
      </c>
      <c r="H1415" s="15">
        <v>44888</v>
      </c>
      <c r="I1415">
        <v>140.1</v>
      </c>
      <c r="J1415">
        <v>10000</v>
      </c>
      <c r="K1415" s="28">
        <v>2.5162</v>
      </c>
    </row>
    <row r="1416" spans="1:12" ht="15" customHeight="1" x14ac:dyDescent="0.2">
      <c r="A1416" s="28" t="s">
        <v>8</v>
      </c>
      <c r="B1416" s="2" t="s">
        <v>29</v>
      </c>
      <c r="C1416" s="30">
        <v>0.5</v>
      </c>
      <c r="D1416" s="28">
        <f>YEAR(TableauFlitrage[[#This Row],[Date_d_adjudication]])</f>
        <v>2022</v>
      </c>
      <c r="E1416" s="28">
        <f t="shared" si="23"/>
        <v>8</v>
      </c>
      <c r="F1416" s="15">
        <v>44796</v>
      </c>
      <c r="G1416" s="28">
        <v>96.967865000000003</v>
      </c>
      <c r="H1416" s="15">
        <v>44980</v>
      </c>
      <c r="I1416">
        <v>100.27</v>
      </c>
      <c r="J1416">
        <v>10000</v>
      </c>
      <c r="K1416" s="28">
        <v>6.1852</v>
      </c>
    </row>
    <row r="1417" spans="1:12" ht="15" customHeight="1" x14ac:dyDescent="0.2">
      <c r="A1417" s="28" t="s">
        <v>8</v>
      </c>
      <c r="B1417" t="s">
        <v>30</v>
      </c>
      <c r="C1417" s="30" t="s">
        <v>54</v>
      </c>
      <c r="D1417" s="28">
        <f>YEAR(TableauFlitrage[[#This Row],[Date_d_adjudication]])</f>
        <v>2022</v>
      </c>
      <c r="E1417" s="28">
        <f t="shared" si="23"/>
        <v>8</v>
      </c>
      <c r="F1417" s="15">
        <v>44796</v>
      </c>
      <c r="G1417" s="28">
        <v>93.296599999999998</v>
      </c>
      <c r="H1417" s="15">
        <v>45894</v>
      </c>
      <c r="I1417">
        <v>71.533299999999997</v>
      </c>
      <c r="J1417">
        <v>15000</v>
      </c>
      <c r="K1417" s="28">
        <v>5.75</v>
      </c>
      <c r="L1417">
        <v>8.32</v>
      </c>
    </row>
    <row r="1418" spans="1:12" ht="15" customHeight="1" x14ac:dyDescent="0.2">
      <c r="A1418" s="28" t="s">
        <v>9</v>
      </c>
      <c r="B1418" s="2" t="s">
        <v>29</v>
      </c>
      <c r="C1418" s="30">
        <v>0.5</v>
      </c>
      <c r="D1418" s="28">
        <f>YEAR(TableauFlitrage[[#This Row],[Date_d_adjudication]])</f>
        <v>2022</v>
      </c>
      <c r="E1418" s="28">
        <f t="shared" si="23"/>
        <v>8</v>
      </c>
      <c r="F1418" s="15">
        <v>44797</v>
      </c>
      <c r="G1418" s="28">
        <v>97.150966999999994</v>
      </c>
      <c r="H1418" s="15">
        <v>44981</v>
      </c>
      <c r="I1418">
        <v>165.47</v>
      </c>
      <c r="J1418">
        <v>10000</v>
      </c>
      <c r="K1418" s="28">
        <v>5.8007</v>
      </c>
    </row>
    <row r="1419" spans="1:12" ht="15" customHeight="1" x14ac:dyDescent="0.2">
      <c r="A1419" s="28" t="s">
        <v>11</v>
      </c>
      <c r="B1419" s="2" t="s">
        <v>29</v>
      </c>
      <c r="C1419" s="30">
        <v>0.5</v>
      </c>
      <c r="D1419" s="28">
        <f>YEAR(TableauFlitrage[[#This Row],[Date_d_adjudication]])</f>
        <v>2022</v>
      </c>
      <c r="E1419" s="28">
        <f t="shared" si="23"/>
        <v>8</v>
      </c>
      <c r="F1419" s="15">
        <v>44797</v>
      </c>
      <c r="G1419" s="28">
        <v>96.655544000000006</v>
      </c>
      <c r="H1419" s="15">
        <v>44981</v>
      </c>
      <c r="I1419">
        <v>71.394999999999996</v>
      </c>
      <c r="J1419">
        <v>20000</v>
      </c>
      <c r="K1419" s="28">
        <v>6.8442999999999996</v>
      </c>
    </row>
    <row r="1420" spans="1:12" ht="15" customHeight="1" x14ac:dyDescent="0.2">
      <c r="A1420" s="28" t="s">
        <v>11</v>
      </c>
      <c r="B1420" t="s">
        <v>30</v>
      </c>
      <c r="C1420" s="30" t="s">
        <v>54</v>
      </c>
      <c r="D1420" s="28">
        <f>YEAR(TableauFlitrage[[#This Row],[Date_d_adjudication]])</f>
        <v>2022</v>
      </c>
      <c r="E1420" s="28">
        <f t="shared" si="23"/>
        <v>8</v>
      </c>
      <c r="F1420" s="15">
        <v>44797</v>
      </c>
      <c r="G1420" s="28">
        <v>90.025400000000005</v>
      </c>
      <c r="H1420" s="15">
        <v>45895</v>
      </c>
      <c r="I1420">
        <v>46.545000000000002</v>
      </c>
      <c r="J1420">
        <v>20000</v>
      </c>
      <c r="K1420" s="28">
        <v>6.5</v>
      </c>
      <c r="L1420">
        <v>10.46</v>
      </c>
    </row>
    <row r="1421" spans="1:12" ht="15" customHeight="1" x14ac:dyDescent="0.2">
      <c r="A1421" s="28" t="s">
        <v>8</v>
      </c>
      <c r="B1421" s="2" t="s">
        <v>29</v>
      </c>
      <c r="C1421" s="30">
        <v>0.25</v>
      </c>
      <c r="D1421" s="28">
        <f>YEAR(TableauFlitrage[[#This Row],[Date_d_adjudication]])</f>
        <v>2022</v>
      </c>
      <c r="E1421" s="28">
        <f t="shared" si="23"/>
        <v>8</v>
      </c>
      <c r="F1421" s="15">
        <v>44803</v>
      </c>
      <c r="G1421" s="28">
        <v>98.499573999999996</v>
      </c>
      <c r="H1421" s="15">
        <v>44896</v>
      </c>
      <c r="I1421">
        <v>104.53</v>
      </c>
      <c r="J1421">
        <v>10000</v>
      </c>
      <c r="K1421" s="28">
        <v>6.0262000000000002</v>
      </c>
    </row>
    <row r="1422" spans="1:12" ht="15" customHeight="1" x14ac:dyDescent="0.2">
      <c r="A1422" s="28" t="s">
        <v>9</v>
      </c>
      <c r="B1422" s="2" t="s">
        <v>29</v>
      </c>
      <c r="C1422" s="30">
        <v>0.25</v>
      </c>
      <c r="D1422" s="28">
        <f>YEAR(TableauFlitrage[[#This Row],[Date_d_adjudication]])</f>
        <v>2022</v>
      </c>
      <c r="E1422" s="28">
        <f t="shared" si="23"/>
        <v>8</v>
      </c>
      <c r="F1422" s="15">
        <v>44804</v>
      </c>
      <c r="G1422" s="28">
        <v>98.581993999999995</v>
      </c>
      <c r="H1422" s="15">
        <v>44897</v>
      </c>
      <c r="I1422">
        <v>235.5</v>
      </c>
      <c r="J1422">
        <v>8000</v>
      </c>
      <c r="K1422" s="28">
        <v>5.6904000000000003</v>
      </c>
    </row>
    <row r="1423" spans="1:12" ht="15" customHeight="1" x14ac:dyDescent="0.2">
      <c r="A1423" s="28" t="s">
        <v>11</v>
      </c>
      <c r="B1423" t="s">
        <v>30</v>
      </c>
      <c r="C1423" s="30" t="s">
        <v>54</v>
      </c>
      <c r="D1423" s="28">
        <f>YEAR(TableauFlitrage[[#This Row],[Date_d_adjudication]])</f>
        <v>2022</v>
      </c>
      <c r="E1423" s="28">
        <f t="shared" si="23"/>
        <v>8</v>
      </c>
      <c r="F1423" s="15">
        <v>44804</v>
      </c>
      <c r="G1423" s="28">
        <v>90.029600000000002</v>
      </c>
      <c r="H1423" s="15">
        <v>45902</v>
      </c>
      <c r="I1423">
        <v>50.627000000000002</v>
      </c>
      <c r="J1423">
        <v>10000</v>
      </c>
      <c r="K1423" s="28">
        <v>6.5</v>
      </c>
      <c r="L1423">
        <v>10.46</v>
      </c>
    </row>
    <row r="1424" spans="1:12" ht="15" customHeight="1" x14ac:dyDescent="0.2">
      <c r="A1424" s="28" t="s">
        <v>7</v>
      </c>
      <c r="B1424" t="s">
        <v>30</v>
      </c>
      <c r="C1424" s="30" t="s">
        <v>55</v>
      </c>
      <c r="D1424" s="28">
        <f>YEAR(TableauFlitrage[[#This Row],[Date_d_adjudication]])</f>
        <v>2022</v>
      </c>
      <c r="E1424" s="28">
        <f t="shared" ref="E1424:E1484" si="24">MONTH(F1424)</f>
        <v>9</v>
      </c>
      <c r="F1424" s="15">
        <v>44809</v>
      </c>
      <c r="G1424" s="28">
        <v>97</v>
      </c>
      <c r="H1424" s="15">
        <v>46637</v>
      </c>
      <c r="I1424">
        <v>66.666700000000006</v>
      </c>
      <c r="J1424">
        <v>30000</v>
      </c>
      <c r="K1424" s="28">
        <v>5.5</v>
      </c>
      <c r="L1424">
        <v>6.21</v>
      </c>
    </row>
    <row r="1425" spans="1:12" ht="15" customHeight="1" x14ac:dyDescent="0.2">
      <c r="A1425" s="28" t="s">
        <v>7</v>
      </c>
      <c r="B1425" t="s">
        <v>30</v>
      </c>
      <c r="C1425" s="30" t="s">
        <v>56</v>
      </c>
      <c r="D1425" s="28">
        <f>YEAR(TableauFlitrage[[#This Row],[Date_d_adjudication]])</f>
        <v>2022</v>
      </c>
      <c r="E1425" s="28">
        <f t="shared" si="24"/>
        <v>9</v>
      </c>
      <c r="F1425" s="15">
        <v>44809</v>
      </c>
      <c r="G1425" s="28">
        <v>97</v>
      </c>
      <c r="H1425" s="15">
        <v>46272</v>
      </c>
      <c r="I1425">
        <v>133.33330000000001</v>
      </c>
      <c r="J1425">
        <v>30000</v>
      </c>
      <c r="K1425" s="28">
        <v>4.75</v>
      </c>
      <c r="L1425">
        <v>5.6</v>
      </c>
    </row>
    <row r="1426" spans="1:12" ht="15" customHeight="1" x14ac:dyDescent="0.2">
      <c r="A1426" s="28" t="s">
        <v>8</v>
      </c>
      <c r="B1426" s="2" t="s">
        <v>29</v>
      </c>
      <c r="C1426" s="30">
        <v>0.5</v>
      </c>
      <c r="D1426" s="28">
        <f>YEAR(TableauFlitrage[[#This Row],[Date_d_adjudication]])</f>
        <v>2022</v>
      </c>
      <c r="E1426" s="28">
        <f t="shared" si="24"/>
        <v>9</v>
      </c>
      <c r="F1426" s="15">
        <v>44810</v>
      </c>
      <c r="G1426" s="28">
        <v>96.843694999999997</v>
      </c>
      <c r="H1426" s="15">
        <v>44994</v>
      </c>
      <c r="I1426">
        <v>81</v>
      </c>
      <c r="J1426">
        <v>14000</v>
      </c>
      <c r="K1426" s="28">
        <v>6.4466999999999999</v>
      </c>
    </row>
    <row r="1427" spans="1:12" ht="15" customHeight="1" x14ac:dyDescent="0.2">
      <c r="A1427" s="28" t="s">
        <v>9</v>
      </c>
      <c r="B1427" s="2" t="s">
        <v>29</v>
      </c>
      <c r="C1427" s="30">
        <v>1</v>
      </c>
      <c r="D1427" s="28">
        <f>YEAR(TableauFlitrage[[#This Row],[Date_d_adjudication]])</f>
        <v>2022</v>
      </c>
      <c r="E1427" s="28">
        <f t="shared" si="24"/>
        <v>9</v>
      </c>
      <c r="F1427" s="15">
        <v>44811</v>
      </c>
      <c r="G1427" s="28">
        <v>94.055802</v>
      </c>
      <c r="H1427" s="15">
        <v>45177</v>
      </c>
      <c r="I1427">
        <v>156.3826</v>
      </c>
      <c r="J1427">
        <v>11500</v>
      </c>
      <c r="K1427" s="28">
        <v>6.2504</v>
      </c>
    </row>
    <row r="1428" spans="1:12" ht="15" customHeight="1" x14ac:dyDescent="0.2">
      <c r="A1428" s="28" t="s">
        <v>11</v>
      </c>
      <c r="B1428" s="2" t="s">
        <v>29</v>
      </c>
      <c r="C1428" s="30">
        <v>0.5</v>
      </c>
      <c r="D1428" s="28">
        <f>YEAR(TableauFlitrage[[#This Row],[Date_d_adjudication]])</f>
        <v>2022</v>
      </c>
      <c r="E1428" s="28">
        <f t="shared" si="24"/>
        <v>9</v>
      </c>
      <c r="F1428" s="15">
        <v>44811</v>
      </c>
      <c r="G1428" s="28">
        <v>96.669866999999996</v>
      </c>
      <c r="H1428" s="15">
        <v>44994</v>
      </c>
      <c r="I1428">
        <v>25.31</v>
      </c>
      <c r="J1428">
        <v>40000</v>
      </c>
      <c r="K1428" s="28">
        <v>6.8516000000000004</v>
      </c>
    </row>
    <row r="1429" spans="1:12" ht="15" customHeight="1" x14ac:dyDescent="0.2">
      <c r="A1429" s="28" t="s">
        <v>11</v>
      </c>
      <c r="B1429" t="s">
        <v>30</v>
      </c>
      <c r="C1429" s="30" t="s">
        <v>54</v>
      </c>
      <c r="D1429" s="28">
        <f>YEAR(TableauFlitrage[[#This Row],[Date_d_adjudication]])</f>
        <v>2022</v>
      </c>
      <c r="E1429" s="28">
        <f t="shared" si="24"/>
        <v>9</v>
      </c>
      <c r="F1429" s="15">
        <v>44811</v>
      </c>
      <c r="G1429" s="28">
        <v>90.029600000000002</v>
      </c>
      <c r="H1429" s="15">
        <v>45909</v>
      </c>
      <c r="I1429">
        <v>39.314999999999998</v>
      </c>
      <c r="J1429">
        <v>40000</v>
      </c>
      <c r="K1429" s="28">
        <v>6.5</v>
      </c>
      <c r="L1429">
        <v>10.46</v>
      </c>
    </row>
    <row r="1430" spans="1:12" ht="15" customHeight="1" x14ac:dyDescent="0.2">
      <c r="A1430" s="28" t="s">
        <v>7</v>
      </c>
      <c r="B1430" s="2" t="s">
        <v>29</v>
      </c>
      <c r="C1430" s="30">
        <v>0.5</v>
      </c>
      <c r="D1430" s="28">
        <f>YEAR(TableauFlitrage[[#This Row],[Date_d_adjudication]])</f>
        <v>2022</v>
      </c>
      <c r="E1430" s="28">
        <f t="shared" si="24"/>
        <v>9</v>
      </c>
      <c r="F1430" s="15">
        <v>44816</v>
      </c>
      <c r="G1430" s="28">
        <v>98.612756000000005</v>
      </c>
      <c r="H1430" s="15">
        <v>45000</v>
      </c>
      <c r="I1430">
        <v>115.05</v>
      </c>
      <c r="J1430">
        <v>20000</v>
      </c>
      <c r="K1430" s="28">
        <v>2.7826</v>
      </c>
    </row>
    <row r="1431" spans="1:12" ht="15" customHeight="1" x14ac:dyDescent="0.2">
      <c r="A1431" s="28" t="s">
        <v>7</v>
      </c>
      <c r="B1431" t="s">
        <v>30</v>
      </c>
      <c r="C1431" s="30" t="s">
        <v>56</v>
      </c>
      <c r="D1431" s="28">
        <f>YEAR(TableauFlitrage[[#This Row],[Date_d_adjudication]])</f>
        <v>2022</v>
      </c>
      <c r="E1431" s="28">
        <f t="shared" si="24"/>
        <v>9</v>
      </c>
      <c r="F1431" s="15">
        <v>44816</v>
      </c>
      <c r="G1431" s="28">
        <v>97.091099999999997</v>
      </c>
      <c r="H1431" s="15">
        <v>46272</v>
      </c>
      <c r="I1431">
        <v>33.333300000000001</v>
      </c>
      <c r="J1431">
        <v>30000</v>
      </c>
      <c r="K1431" s="28">
        <v>4.75</v>
      </c>
      <c r="L1431">
        <v>5.57</v>
      </c>
    </row>
    <row r="1432" spans="1:12" ht="15" customHeight="1" x14ac:dyDescent="0.2">
      <c r="A1432" s="28" t="s">
        <v>8</v>
      </c>
      <c r="B1432" s="2" t="s">
        <v>29</v>
      </c>
      <c r="C1432" s="30">
        <v>0.25</v>
      </c>
      <c r="D1432" s="28">
        <f>YEAR(TableauFlitrage[[#This Row],[Date_d_adjudication]])</f>
        <v>2022</v>
      </c>
      <c r="E1432" s="28">
        <f t="shared" si="24"/>
        <v>9</v>
      </c>
      <c r="F1432" s="15">
        <v>44817</v>
      </c>
      <c r="G1432" s="28">
        <v>98.468062000000003</v>
      </c>
      <c r="H1432" s="15">
        <v>44910</v>
      </c>
      <c r="I1432">
        <v>150.95330000000001</v>
      </c>
      <c r="J1432">
        <v>15000</v>
      </c>
      <c r="K1432" s="28">
        <v>6.1547000000000001</v>
      </c>
    </row>
    <row r="1433" spans="1:12" ht="15" customHeight="1" x14ac:dyDescent="0.2">
      <c r="A1433" s="28" t="s">
        <v>9</v>
      </c>
      <c r="B1433" s="2" t="s">
        <v>29</v>
      </c>
      <c r="C1433" s="30">
        <v>0.5</v>
      </c>
      <c r="D1433" s="28">
        <f>YEAR(TableauFlitrage[[#This Row],[Date_d_adjudication]])</f>
        <v>2022</v>
      </c>
      <c r="E1433" s="28">
        <f t="shared" si="24"/>
        <v>9</v>
      </c>
      <c r="F1433" s="15">
        <v>44818</v>
      </c>
      <c r="G1433" s="28">
        <v>97.179754000000003</v>
      </c>
      <c r="H1433" s="15">
        <v>45002</v>
      </c>
      <c r="I1433">
        <v>217.70910000000001</v>
      </c>
      <c r="J1433">
        <v>11000</v>
      </c>
      <c r="K1433" s="28">
        <v>5.7404000000000002</v>
      </c>
    </row>
    <row r="1434" spans="1:12" ht="15" customHeight="1" x14ac:dyDescent="0.2">
      <c r="A1434" s="28" t="s">
        <v>11</v>
      </c>
      <c r="B1434" s="2" t="s">
        <v>29</v>
      </c>
      <c r="C1434" s="30">
        <v>0.5</v>
      </c>
      <c r="D1434" s="28">
        <f>YEAR(TableauFlitrage[[#This Row],[Date_d_adjudication]])</f>
        <v>2022</v>
      </c>
      <c r="E1434" s="28">
        <f t="shared" si="24"/>
        <v>9</v>
      </c>
      <c r="F1434" s="15">
        <v>44818</v>
      </c>
      <c r="G1434" s="28">
        <v>96.628863999999993</v>
      </c>
      <c r="H1434" s="15">
        <v>45002</v>
      </c>
      <c r="I1434">
        <v>73.333299999999994</v>
      </c>
      <c r="J1434">
        <v>15000</v>
      </c>
      <c r="K1434" s="28">
        <v>6.9008000000000003</v>
      </c>
    </row>
    <row r="1435" spans="1:12" ht="15" customHeight="1" x14ac:dyDescent="0.2">
      <c r="A1435" s="28" t="s">
        <v>9</v>
      </c>
      <c r="B1435" t="s">
        <v>30</v>
      </c>
      <c r="C1435" s="30" t="s">
        <v>56</v>
      </c>
      <c r="D1435" s="28">
        <f>YEAR(TableauFlitrage[[#This Row],[Date_d_adjudication]])</f>
        <v>2022</v>
      </c>
      <c r="E1435" s="28">
        <f t="shared" si="24"/>
        <v>9</v>
      </c>
      <c r="F1435" s="15">
        <v>44818</v>
      </c>
      <c r="G1435" s="28">
        <v>90.097499999999997</v>
      </c>
      <c r="H1435" s="15">
        <v>46281</v>
      </c>
      <c r="I1435">
        <v>29</v>
      </c>
      <c r="J1435">
        <v>20000</v>
      </c>
      <c r="K1435" s="28">
        <v>5.75</v>
      </c>
      <c r="L1435">
        <v>8.74</v>
      </c>
    </row>
    <row r="1436" spans="1:12" ht="15" customHeight="1" x14ac:dyDescent="0.2">
      <c r="A1436" s="28" t="s">
        <v>11</v>
      </c>
      <c r="B1436" t="s">
        <v>30</v>
      </c>
      <c r="C1436" s="30" t="s">
        <v>54</v>
      </c>
      <c r="D1436" s="28">
        <f>YEAR(TableauFlitrage[[#This Row],[Date_d_adjudication]])</f>
        <v>2022</v>
      </c>
      <c r="E1436" s="28">
        <f t="shared" si="24"/>
        <v>9</v>
      </c>
      <c r="F1436" s="15">
        <v>44818</v>
      </c>
      <c r="G1436" s="28">
        <v>90.035200000000003</v>
      </c>
      <c r="H1436" s="15">
        <v>45916</v>
      </c>
      <c r="I1436">
        <v>25.563300000000002</v>
      </c>
      <c r="J1436">
        <v>15000</v>
      </c>
      <c r="K1436" s="28">
        <v>6.5</v>
      </c>
      <c r="L1436">
        <v>10.46</v>
      </c>
    </row>
    <row r="1437" spans="1:12" ht="15" customHeight="1" x14ac:dyDescent="0.2">
      <c r="A1437" s="28" t="s">
        <v>14</v>
      </c>
      <c r="B1437" t="s">
        <v>30</v>
      </c>
      <c r="C1437" s="30" t="s">
        <v>54</v>
      </c>
      <c r="D1437" s="28">
        <f>YEAR(TableauFlitrage[[#This Row],[Date_d_adjudication]])</f>
        <v>2022</v>
      </c>
      <c r="E1437" s="28">
        <f t="shared" si="24"/>
        <v>9</v>
      </c>
      <c r="F1437" s="15">
        <v>44823</v>
      </c>
      <c r="G1437" s="28">
        <v>90.138000000000005</v>
      </c>
      <c r="H1437" s="15">
        <v>45921</v>
      </c>
      <c r="I1437">
        <v>136.25</v>
      </c>
      <c r="J1437">
        <v>10000</v>
      </c>
      <c r="K1437" s="28">
        <v>6.5</v>
      </c>
      <c r="L1437">
        <v>10.41</v>
      </c>
    </row>
    <row r="1438" spans="1:12" ht="15" customHeight="1" x14ac:dyDescent="0.2">
      <c r="A1438" s="28" t="s">
        <v>8</v>
      </c>
      <c r="B1438" s="2" t="s">
        <v>29</v>
      </c>
      <c r="C1438" s="30">
        <v>0.5</v>
      </c>
      <c r="D1438" s="28">
        <f>YEAR(TableauFlitrage[[#This Row],[Date_d_adjudication]])</f>
        <v>2022</v>
      </c>
      <c r="E1438" s="28">
        <f t="shared" si="24"/>
        <v>9</v>
      </c>
      <c r="F1438" s="15">
        <v>44824</v>
      </c>
      <c r="G1438" s="28">
        <v>96.800471999999999</v>
      </c>
      <c r="H1438" s="15">
        <v>45008</v>
      </c>
      <c r="I1438">
        <v>63.941699999999997</v>
      </c>
      <c r="J1438">
        <v>12000</v>
      </c>
      <c r="K1438" s="28">
        <v>6.5378999999999996</v>
      </c>
    </row>
    <row r="1439" spans="1:12" ht="15" customHeight="1" x14ac:dyDescent="0.2">
      <c r="A1439" s="28" t="s">
        <v>8</v>
      </c>
      <c r="B1439" t="s">
        <v>30</v>
      </c>
      <c r="C1439" s="30" t="s">
        <v>54</v>
      </c>
      <c r="D1439" s="28">
        <f>YEAR(TableauFlitrage[[#This Row],[Date_d_adjudication]])</f>
        <v>2022</v>
      </c>
      <c r="E1439" s="28">
        <f t="shared" si="24"/>
        <v>9</v>
      </c>
      <c r="F1439" s="15">
        <v>44824</v>
      </c>
      <c r="G1439" s="28">
        <v>93.558899999999994</v>
      </c>
      <c r="H1439" s="15">
        <v>45922</v>
      </c>
      <c r="I1439">
        <v>191.49</v>
      </c>
      <c r="J1439">
        <v>10000</v>
      </c>
      <c r="K1439" s="28">
        <v>5.75</v>
      </c>
      <c r="L1439">
        <v>8.2200000000000006</v>
      </c>
    </row>
    <row r="1440" spans="1:12" ht="15" customHeight="1" x14ac:dyDescent="0.2">
      <c r="A1440" s="28" t="s">
        <v>9</v>
      </c>
      <c r="B1440" s="2" t="s">
        <v>29</v>
      </c>
      <c r="C1440" s="30">
        <v>1</v>
      </c>
      <c r="D1440" s="28">
        <f>YEAR(TableauFlitrage[[#This Row],[Date_d_adjudication]])</f>
        <v>2022</v>
      </c>
      <c r="E1440" s="28">
        <f t="shared" si="24"/>
        <v>9</v>
      </c>
      <c r="F1440" s="15">
        <v>44825</v>
      </c>
      <c r="G1440" s="28">
        <v>94.417392000000007</v>
      </c>
      <c r="H1440" s="15">
        <v>45191</v>
      </c>
      <c r="I1440">
        <v>237.5889</v>
      </c>
      <c r="J1440">
        <v>9000</v>
      </c>
      <c r="K1440" s="28">
        <v>5.8476999999999997</v>
      </c>
    </row>
    <row r="1441" spans="1:12" ht="15" customHeight="1" x14ac:dyDescent="0.2">
      <c r="A1441" s="28" t="s">
        <v>11</v>
      </c>
      <c r="B1441" s="2" t="s">
        <v>29</v>
      </c>
      <c r="C1441" s="30">
        <v>0.5</v>
      </c>
      <c r="D1441" s="28">
        <f>YEAR(TableauFlitrage[[#This Row],[Date_d_adjudication]])</f>
        <v>2022</v>
      </c>
      <c r="E1441" s="28">
        <f t="shared" si="24"/>
        <v>9</v>
      </c>
      <c r="F1441" s="15">
        <v>44825</v>
      </c>
      <c r="G1441" s="28">
        <v>96.631800999999996</v>
      </c>
      <c r="H1441" s="15">
        <v>45009</v>
      </c>
      <c r="I1441">
        <v>80.833330000000004</v>
      </c>
      <c r="J1441">
        <v>12000</v>
      </c>
      <c r="K1441" s="28">
        <v>6.8945999999999996</v>
      </c>
    </row>
    <row r="1442" spans="1:12" ht="15" customHeight="1" x14ac:dyDescent="0.2">
      <c r="A1442" s="28" t="s">
        <v>9</v>
      </c>
      <c r="B1442" t="s">
        <v>30</v>
      </c>
      <c r="C1442" s="30" t="s">
        <v>56</v>
      </c>
      <c r="D1442" s="28">
        <f>YEAR(TableauFlitrage[[#This Row],[Date_d_adjudication]])</f>
        <v>2022</v>
      </c>
      <c r="E1442" s="28">
        <f t="shared" si="24"/>
        <v>9</v>
      </c>
      <c r="F1442" s="15">
        <v>44825</v>
      </c>
      <c r="G1442" s="28">
        <v>90.132099999999994</v>
      </c>
      <c r="H1442" s="15">
        <v>46281</v>
      </c>
      <c r="I1442">
        <v>53.7</v>
      </c>
      <c r="J1442">
        <v>15000</v>
      </c>
      <c r="K1442" s="28">
        <v>5.75</v>
      </c>
      <c r="L1442">
        <v>8.73</v>
      </c>
    </row>
    <row r="1443" spans="1:12" ht="15" customHeight="1" x14ac:dyDescent="0.2">
      <c r="A1443" s="28" t="s">
        <v>7</v>
      </c>
      <c r="B1443" s="2" t="s">
        <v>29</v>
      </c>
      <c r="C1443" s="30">
        <v>0.5</v>
      </c>
      <c r="D1443" s="28">
        <f>YEAR(TableauFlitrage[[#This Row],[Date_d_adjudication]])</f>
        <v>2022</v>
      </c>
      <c r="E1443" s="28">
        <f t="shared" si="24"/>
        <v>9</v>
      </c>
      <c r="F1443" s="15">
        <v>44830</v>
      </c>
      <c r="G1443" s="28">
        <v>98.397847999999996</v>
      </c>
      <c r="H1443" s="15">
        <v>45014</v>
      </c>
      <c r="I1443">
        <v>65</v>
      </c>
      <c r="J1443">
        <v>10000</v>
      </c>
      <c r="K1443" s="28">
        <v>3.2206999999999999</v>
      </c>
    </row>
    <row r="1444" spans="1:12" ht="15" customHeight="1" x14ac:dyDescent="0.2">
      <c r="A1444" s="28" t="s">
        <v>7</v>
      </c>
      <c r="B1444" t="s">
        <v>30</v>
      </c>
      <c r="C1444" s="30" t="s">
        <v>58</v>
      </c>
      <c r="D1444" s="28">
        <f>YEAR(TableauFlitrage[[#This Row],[Date_d_adjudication]])</f>
        <v>2022</v>
      </c>
      <c r="E1444" s="28">
        <f t="shared" si="24"/>
        <v>9</v>
      </c>
      <c r="F1444" s="15">
        <v>44830</v>
      </c>
      <c r="G1444" s="28">
        <v>97</v>
      </c>
      <c r="H1444" s="15">
        <v>47389</v>
      </c>
      <c r="I1444">
        <v>80</v>
      </c>
      <c r="J1444">
        <v>25000</v>
      </c>
      <c r="K1444" s="28">
        <v>6.5</v>
      </c>
      <c r="L1444">
        <v>7.05</v>
      </c>
    </row>
    <row r="1445" spans="1:12" ht="15" customHeight="1" x14ac:dyDescent="0.2">
      <c r="A1445" s="28" t="s">
        <v>9</v>
      </c>
      <c r="B1445" s="2" t="s">
        <v>29</v>
      </c>
      <c r="C1445" s="30">
        <v>0.5</v>
      </c>
      <c r="D1445" s="28">
        <f>YEAR(TableauFlitrage[[#This Row],[Date_d_adjudication]])</f>
        <v>2022</v>
      </c>
      <c r="E1445" s="28">
        <f t="shared" si="24"/>
        <v>9</v>
      </c>
      <c r="F1445" s="15">
        <v>44832</v>
      </c>
      <c r="G1445" s="28">
        <v>97.252840000000006</v>
      </c>
      <c r="H1445" s="15">
        <v>45016</v>
      </c>
      <c r="I1445">
        <v>160.87270000000001</v>
      </c>
      <c r="J1445">
        <v>11000</v>
      </c>
      <c r="K1445" s="28">
        <v>5.5873999999999997</v>
      </c>
    </row>
    <row r="1446" spans="1:12" ht="15" customHeight="1" x14ac:dyDescent="0.2">
      <c r="A1446" s="28" t="s">
        <v>11</v>
      </c>
      <c r="B1446" t="s">
        <v>30</v>
      </c>
      <c r="C1446" s="30" t="s">
        <v>54</v>
      </c>
      <c r="D1446" s="28">
        <f>YEAR(TableauFlitrage[[#This Row],[Date_d_adjudication]])</f>
        <v>2022</v>
      </c>
      <c r="E1446" s="28">
        <f t="shared" si="24"/>
        <v>9</v>
      </c>
      <c r="F1446" s="15">
        <v>44832</v>
      </c>
      <c r="G1446" s="28">
        <v>90.650499999999994</v>
      </c>
      <c r="H1446" s="15">
        <v>45930</v>
      </c>
      <c r="I1446">
        <v>44.72</v>
      </c>
      <c r="J1446">
        <v>15000</v>
      </c>
      <c r="K1446" s="28">
        <v>6.5</v>
      </c>
      <c r="L1446">
        <v>10.199999999999999</v>
      </c>
    </row>
    <row r="1447" spans="1:12" ht="15" customHeight="1" x14ac:dyDescent="0.2">
      <c r="A1447" s="28" t="s">
        <v>7</v>
      </c>
      <c r="B1447" t="s">
        <v>30</v>
      </c>
      <c r="C1447" s="30" t="s">
        <v>56</v>
      </c>
      <c r="D1447" s="28">
        <f>YEAR(TableauFlitrage[[#This Row],[Date_d_adjudication]])</f>
        <v>2022</v>
      </c>
      <c r="E1447" s="28">
        <f t="shared" si="24"/>
        <v>10</v>
      </c>
      <c r="F1447" s="15">
        <v>44837</v>
      </c>
      <c r="G1447" s="28">
        <v>97.364400000000003</v>
      </c>
      <c r="H1447" s="15">
        <v>46272</v>
      </c>
      <c r="I1447">
        <v>95</v>
      </c>
      <c r="J1447">
        <v>10000</v>
      </c>
      <c r="K1447" s="28">
        <v>4.75</v>
      </c>
      <c r="L1447">
        <v>5.49</v>
      </c>
    </row>
    <row r="1448" spans="1:12" ht="15" customHeight="1" x14ac:dyDescent="0.2">
      <c r="A1448" s="28" t="s">
        <v>7</v>
      </c>
      <c r="B1448" t="s">
        <v>30</v>
      </c>
      <c r="C1448" s="30" t="s">
        <v>55</v>
      </c>
      <c r="D1448" s="28">
        <f>YEAR(TableauFlitrage[[#This Row],[Date_d_adjudication]])</f>
        <v>2022</v>
      </c>
      <c r="E1448" s="28">
        <f t="shared" si="24"/>
        <v>10</v>
      </c>
      <c r="F1448" s="15">
        <v>44837</v>
      </c>
      <c r="G1448" s="28">
        <v>97.421899999999994</v>
      </c>
      <c r="H1448" s="15">
        <v>46637</v>
      </c>
      <c r="I1448">
        <v>130</v>
      </c>
      <c r="J1448">
        <v>10000</v>
      </c>
      <c r="K1448" s="28">
        <v>5.5</v>
      </c>
      <c r="L1448">
        <v>6.11</v>
      </c>
    </row>
    <row r="1449" spans="1:12" ht="15" customHeight="1" x14ac:dyDescent="0.2">
      <c r="A1449" s="28" t="s">
        <v>8</v>
      </c>
      <c r="B1449" s="2" t="s">
        <v>29</v>
      </c>
      <c r="C1449" s="30">
        <v>0.5</v>
      </c>
      <c r="D1449" s="28">
        <f>YEAR(TableauFlitrage[[#This Row],[Date_d_adjudication]])</f>
        <v>2022</v>
      </c>
      <c r="E1449" s="28">
        <f t="shared" si="24"/>
        <v>10</v>
      </c>
      <c r="F1449" s="15">
        <v>44838</v>
      </c>
      <c r="G1449" s="28">
        <v>96.794706000000005</v>
      </c>
      <c r="H1449" s="15">
        <v>45022</v>
      </c>
      <c r="I1449">
        <v>45.29</v>
      </c>
      <c r="J1449">
        <v>10000</v>
      </c>
      <c r="K1449" s="28">
        <v>6.5500999999999996</v>
      </c>
    </row>
    <row r="1450" spans="1:12" ht="15" customHeight="1" x14ac:dyDescent="0.2">
      <c r="A1450" s="28" t="s">
        <v>8</v>
      </c>
      <c r="B1450" t="s">
        <v>30</v>
      </c>
      <c r="C1450" s="30" t="s">
        <v>53</v>
      </c>
      <c r="D1450" s="28">
        <f>YEAR(TableauFlitrage[[#This Row],[Date_d_adjudication]])</f>
        <v>2022</v>
      </c>
      <c r="E1450" s="28">
        <f t="shared" si="24"/>
        <v>10</v>
      </c>
      <c r="F1450" s="15">
        <v>44838</v>
      </c>
      <c r="G1450" s="28">
        <v>94.087800000000001</v>
      </c>
      <c r="H1450" s="15">
        <v>45571</v>
      </c>
      <c r="I1450">
        <v>110.5667</v>
      </c>
      <c r="J1450">
        <v>15000</v>
      </c>
      <c r="K1450" s="28">
        <v>5.25</v>
      </c>
      <c r="L1450">
        <v>8.5299999999999994</v>
      </c>
    </row>
    <row r="1451" spans="1:12" ht="15" customHeight="1" x14ac:dyDescent="0.2">
      <c r="A1451" s="28" t="s">
        <v>9</v>
      </c>
      <c r="B1451" s="2" t="s">
        <v>29</v>
      </c>
      <c r="C1451" s="30">
        <v>0.5</v>
      </c>
      <c r="D1451" s="28">
        <f>YEAR(TableauFlitrage[[#This Row],[Date_d_adjudication]])</f>
        <v>2022</v>
      </c>
      <c r="E1451" s="28">
        <f t="shared" si="24"/>
        <v>10</v>
      </c>
      <c r="F1451" s="15">
        <v>44839</v>
      </c>
      <c r="G1451" s="28">
        <v>97.146702000000005</v>
      </c>
      <c r="H1451" s="15">
        <v>45023</v>
      </c>
      <c r="I1451">
        <v>60.1083</v>
      </c>
      <c r="J1451">
        <v>12000</v>
      </c>
      <c r="K1451" s="28">
        <v>5.8097000000000003</v>
      </c>
    </row>
    <row r="1452" spans="1:12" ht="15" customHeight="1" x14ac:dyDescent="0.2">
      <c r="A1452" s="28" t="s">
        <v>11</v>
      </c>
      <c r="B1452" t="s">
        <v>30</v>
      </c>
      <c r="C1452" s="30" t="s">
        <v>54</v>
      </c>
      <c r="D1452" s="28">
        <f>YEAR(TableauFlitrage[[#This Row],[Date_d_adjudication]])</f>
        <v>2022</v>
      </c>
      <c r="E1452" s="28">
        <f t="shared" si="24"/>
        <v>10</v>
      </c>
      <c r="F1452" s="15">
        <v>44839</v>
      </c>
      <c r="G1452" s="28">
        <v>94</v>
      </c>
      <c r="H1452" s="15">
        <v>45937</v>
      </c>
      <c r="I1452">
        <v>53.08</v>
      </c>
      <c r="J1452">
        <v>25000</v>
      </c>
      <c r="K1452" s="28">
        <v>6.5</v>
      </c>
      <c r="L1452">
        <v>8.82</v>
      </c>
    </row>
    <row r="1453" spans="1:12" ht="15" customHeight="1" x14ac:dyDescent="0.2">
      <c r="A1453" s="28" t="s">
        <v>14</v>
      </c>
      <c r="B1453" t="s">
        <v>30</v>
      </c>
      <c r="C1453" s="30" t="s">
        <v>54</v>
      </c>
      <c r="D1453" s="28">
        <f>YEAR(TableauFlitrage[[#This Row],[Date_d_adjudication]])</f>
        <v>2022</v>
      </c>
      <c r="E1453" s="28">
        <f t="shared" si="24"/>
        <v>10</v>
      </c>
      <c r="F1453" s="15">
        <v>44844</v>
      </c>
      <c r="G1453" s="28">
        <v>88.609899999999996</v>
      </c>
      <c r="H1453" s="15">
        <v>45942</v>
      </c>
      <c r="I1453">
        <v>54.715000000000003</v>
      </c>
      <c r="J1453">
        <v>20000</v>
      </c>
      <c r="K1453" s="28">
        <v>6.5</v>
      </c>
      <c r="L1453">
        <v>11.07</v>
      </c>
    </row>
    <row r="1454" spans="1:12" ht="15" customHeight="1" x14ac:dyDescent="0.2">
      <c r="A1454" s="28" t="s">
        <v>9</v>
      </c>
      <c r="B1454" s="2" t="s">
        <v>29</v>
      </c>
      <c r="C1454" s="30">
        <v>0.25</v>
      </c>
      <c r="D1454" s="28">
        <f>YEAR(TableauFlitrage[[#This Row],[Date_d_adjudication]])</f>
        <v>2022</v>
      </c>
      <c r="E1454" s="28">
        <f t="shared" si="24"/>
        <v>10</v>
      </c>
      <c r="F1454" s="15">
        <v>44846</v>
      </c>
      <c r="G1454" s="28">
        <v>99.525154999999998</v>
      </c>
      <c r="H1454" s="15">
        <v>44883</v>
      </c>
      <c r="I1454">
        <v>219.18</v>
      </c>
      <c r="J1454">
        <v>5000</v>
      </c>
      <c r="K1454" s="28">
        <v>4.9074</v>
      </c>
    </row>
    <row r="1455" spans="1:12" ht="15" customHeight="1" x14ac:dyDescent="0.2">
      <c r="A1455" s="28" t="s">
        <v>9</v>
      </c>
      <c r="B1455" s="2" t="s">
        <v>29</v>
      </c>
      <c r="C1455" s="30">
        <v>1</v>
      </c>
      <c r="D1455" s="28">
        <f>YEAR(TableauFlitrage[[#This Row],[Date_d_adjudication]])</f>
        <v>2022</v>
      </c>
      <c r="E1455" s="28">
        <f t="shared" si="24"/>
        <v>10</v>
      </c>
      <c r="F1455" s="15">
        <v>44846</v>
      </c>
      <c r="G1455" s="28">
        <v>94.212350000000001</v>
      </c>
      <c r="H1455" s="15">
        <v>45212</v>
      </c>
      <c r="I1455">
        <v>157.5556</v>
      </c>
      <c r="J1455">
        <v>9000</v>
      </c>
      <c r="K1455" s="28">
        <v>6.0757000000000003</v>
      </c>
    </row>
    <row r="1456" spans="1:12" ht="15" customHeight="1" x14ac:dyDescent="0.2">
      <c r="A1456" s="28" t="s">
        <v>11</v>
      </c>
      <c r="B1456" s="2" t="s">
        <v>29</v>
      </c>
      <c r="C1456" s="30">
        <v>0.5</v>
      </c>
      <c r="D1456" s="28">
        <f>YEAR(TableauFlitrage[[#This Row],[Date_d_adjudication]])</f>
        <v>2022</v>
      </c>
      <c r="E1456" s="28">
        <f t="shared" si="24"/>
        <v>10</v>
      </c>
      <c r="F1456" s="15">
        <v>44846</v>
      </c>
      <c r="G1456" s="28">
        <v>96.691447999999994</v>
      </c>
      <c r="H1456" s="15">
        <v>45030</v>
      </c>
      <c r="I1456">
        <v>96.78</v>
      </c>
      <c r="J1456">
        <v>5000</v>
      </c>
      <c r="K1456" s="28">
        <v>6.7683</v>
      </c>
    </row>
    <row r="1457" spans="1:12" ht="15" customHeight="1" x14ac:dyDescent="0.2">
      <c r="A1457" s="28" t="s">
        <v>11</v>
      </c>
      <c r="B1457" t="s">
        <v>30</v>
      </c>
      <c r="C1457" s="30" t="s">
        <v>54</v>
      </c>
      <c r="D1457" s="28">
        <f>YEAR(TableauFlitrage[[#This Row],[Date_d_adjudication]])</f>
        <v>2022</v>
      </c>
      <c r="E1457" s="28">
        <f t="shared" si="24"/>
        <v>10</v>
      </c>
      <c r="F1457" s="15">
        <v>44846</v>
      </c>
      <c r="G1457" s="28">
        <v>94.009</v>
      </c>
      <c r="H1457" s="15">
        <v>45944</v>
      </c>
      <c r="I1457">
        <v>153.89330000000001</v>
      </c>
      <c r="J1457">
        <v>15000</v>
      </c>
      <c r="K1457" s="28">
        <v>6.5</v>
      </c>
      <c r="L1457">
        <v>8.82</v>
      </c>
    </row>
    <row r="1458" spans="1:12" ht="15" customHeight="1" x14ac:dyDescent="0.2">
      <c r="A1458" s="28" t="s">
        <v>7</v>
      </c>
      <c r="B1458" s="2" t="s">
        <v>29</v>
      </c>
      <c r="C1458" s="30">
        <v>0.5</v>
      </c>
      <c r="D1458" s="28">
        <f>YEAR(TableauFlitrage[[#This Row],[Date_d_adjudication]])</f>
        <v>2022</v>
      </c>
      <c r="E1458" s="28">
        <f t="shared" si="24"/>
        <v>10</v>
      </c>
      <c r="F1458" s="15">
        <v>44851</v>
      </c>
      <c r="G1458" s="28">
        <v>98.356943999999999</v>
      </c>
      <c r="H1458" s="15">
        <v>45030</v>
      </c>
      <c r="I1458">
        <v>20.05</v>
      </c>
      <c r="J1458">
        <v>20000</v>
      </c>
      <c r="K1458" s="28">
        <v>3.3043</v>
      </c>
    </row>
    <row r="1459" spans="1:12" ht="15" customHeight="1" x14ac:dyDescent="0.2">
      <c r="A1459" s="28" t="s">
        <v>8</v>
      </c>
      <c r="B1459" s="2" t="s">
        <v>29</v>
      </c>
      <c r="C1459" s="30">
        <v>0.5</v>
      </c>
      <c r="D1459" s="28">
        <f>YEAR(TableauFlitrage[[#This Row],[Date_d_adjudication]])</f>
        <v>2022</v>
      </c>
      <c r="E1459" s="28">
        <f t="shared" si="24"/>
        <v>10</v>
      </c>
      <c r="F1459" s="15">
        <v>44852</v>
      </c>
      <c r="G1459" s="28">
        <v>96.835205000000002</v>
      </c>
      <c r="H1459" s="15">
        <v>45036</v>
      </c>
      <c r="I1459">
        <v>100.7533</v>
      </c>
      <c r="J1459">
        <v>15000</v>
      </c>
      <c r="K1459" s="28">
        <v>6.5</v>
      </c>
    </row>
    <row r="1460" spans="1:12" ht="15" customHeight="1" x14ac:dyDescent="0.2">
      <c r="A1460" s="28" t="s">
        <v>9</v>
      </c>
      <c r="B1460" s="2" t="s">
        <v>29</v>
      </c>
      <c r="C1460" s="30">
        <v>0.5</v>
      </c>
      <c r="D1460" s="28">
        <f>YEAR(TableauFlitrage[[#This Row],[Date_d_adjudication]])</f>
        <v>2022</v>
      </c>
      <c r="E1460" s="28">
        <f t="shared" si="24"/>
        <v>10</v>
      </c>
      <c r="F1460" s="15">
        <v>44853</v>
      </c>
      <c r="G1460" s="28">
        <v>97.300875000000005</v>
      </c>
      <c r="H1460" s="15">
        <v>45037</v>
      </c>
      <c r="I1460">
        <v>91.24</v>
      </c>
      <c r="J1460">
        <v>10000</v>
      </c>
      <c r="K1460" s="28">
        <v>5.4870000000000001</v>
      </c>
    </row>
    <row r="1461" spans="1:12" ht="15" customHeight="1" x14ac:dyDescent="0.2">
      <c r="A1461" s="28" t="s">
        <v>11</v>
      </c>
      <c r="B1461" t="s">
        <v>30</v>
      </c>
      <c r="C1461" s="30" t="s">
        <v>54</v>
      </c>
      <c r="D1461" s="28">
        <f>YEAR(TableauFlitrage[[#This Row],[Date_d_adjudication]])</f>
        <v>2022</v>
      </c>
      <c r="E1461" s="28">
        <f t="shared" si="24"/>
        <v>10</v>
      </c>
      <c r="F1461" s="15">
        <v>44853</v>
      </c>
      <c r="G1461" s="28">
        <v>91.512200000000007</v>
      </c>
      <c r="H1461" s="15">
        <v>45951</v>
      </c>
      <c r="I1461">
        <v>148.38999999999999</v>
      </c>
      <c r="J1461">
        <v>10000</v>
      </c>
      <c r="K1461" s="28">
        <v>6.5</v>
      </c>
      <c r="L1461">
        <v>9.84</v>
      </c>
    </row>
    <row r="1462" spans="1:12" ht="15" customHeight="1" x14ac:dyDescent="0.2">
      <c r="A1462" s="28" t="s">
        <v>7</v>
      </c>
      <c r="B1462" s="2" t="s">
        <v>29</v>
      </c>
      <c r="C1462" s="30">
        <v>0.5</v>
      </c>
      <c r="D1462" s="28">
        <f>YEAR(TableauFlitrage[[#This Row],[Date_d_adjudication]])</f>
        <v>2022</v>
      </c>
      <c r="E1462" s="28">
        <f t="shared" si="24"/>
        <v>10</v>
      </c>
      <c r="F1462" s="15">
        <v>44858</v>
      </c>
      <c r="G1462" s="28">
        <v>98.320177000000001</v>
      </c>
      <c r="H1462" s="15">
        <v>45042</v>
      </c>
      <c r="I1462">
        <v>36.7333</v>
      </c>
      <c r="J1462">
        <v>15000</v>
      </c>
      <c r="K1462" s="28">
        <v>3.3795000000000002</v>
      </c>
    </row>
    <row r="1463" spans="1:12" ht="15" customHeight="1" x14ac:dyDescent="0.2">
      <c r="A1463" s="28" t="s">
        <v>8</v>
      </c>
      <c r="B1463" s="2" t="s">
        <v>29</v>
      </c>
      <c r="C1463" s="30">
        <v>1</v>
      </c>
      <c r="D1463" s="28">
        <f>YEAR(TableauFlitrage[[#This Row],[Date_d_adjudication]])</f>
        <v>2022</v>
      </c>
      <c r="E1463" s="28">
        <f t="shared" si="24"/>
        <v>10</v>
      </c>
      <c r="F1463" s="15">
        <v>44859</v>
      </c>
      <c r="G1463" s="28">
        <v>93.520994999999999</v>
      </c>
      <c r="H1463" s="15">
        <v>45225</v>
      </c>
      <c r="I1463">
        <v>83.071399999999997</v>
      </c>
      <c r="J1463">
        <v>7000</v>
      </c>
      <c r="K1463" s="28">
        <v>6.8517000000000001</v>
      </c>
    </row>
    <row r="1464" spans="1:12" ht="15" customHeight="1" x14ac:dyDescent="0.2">
      <c r="A1464" s="28" t="s">
        <v>9</v>
      </c>
      <c r="B1464" s="2" t="s">
        <v>29</v>
      </c>
      <c r="C1464" s="30">
        <v>0.25</v>
      </c>
      <c r="D1464" s="28">
        <f>YEAR(TableauFlitrage[[#This Row],[Date_d_adjudication]])</f>
        <v>2022</v>
      </c>
      <c r="E1464" s="28">
        <f t="shared" si="24"/>
        <v>10</v>
      </c>
      <c r="F1464" s="15">
        <v>44860</v>
      </c>
      <c r="G1464" s="28">
        <v>98.730953999999997</v>
      </c>
      <c r="H1464" s="15">
        <v>44953</v>
      </c>
      <c r="I1464">
        <v>200.86</v>
      </c>
      <c r="J1464">
        <v>10000</v>
      </c>
      <c r="K1464" s="28">
        <v>5.0849000000000002</v>
      </c>
    </row>
    <row r="1465" spans="1:12" ht="15" customHeight="1" x14ac:dyDescent="0.2">
      <c r="A1465" s="28" t="s">
        <v>11</v>
      </c>
      <c r="B1465" s="2" t="s">
        <v>29</v>
      </c>
      <c r="C1465" s="30">
        <v>0.5</v>
      </c>
      <c r="D1465" s="28">
        <f>YEAR(TableauFlitrage[[#This Row],[Date_d_adjudication]])</f>
        <v>2022</v>
      </c>
      <c r="E1465" s="28">
        <f t="shared" si="24"/>
        <v>10</v>
      </c>
      <c r="F1465" s="15">
        <v>44860</v>
      </c>
      <c r="G1465" s="28">
        <v>96.600339000000005</v>
      </c>
      <c r="H1465" s="15">
        <v>45044</v>
      </c>
      <c r="I1465">
        <v>82.1</v>
      </c>
      <c r="J1465">
        <v>10000</v>
      </c>
      <c r="K1465" s="28">
        <v>6.9612999999999996</v>
      </c>
    </row>
    <row r="1466" spans="1:12" ht="15" customHeight="1" x14ac:dyDescent="0.2">
      <c r="A1466" s="28" t="s">
        <v>11</v>
      </c>
      <c r="B1466" t="s">
        <v>30</v>
      </c>
      <c r="C1466" s="30" t="s">
        <v>54</v>
      </c>
      <c r="D1466" s="28">
        <f>YEAR(TableauFlitrage[[#This Row],[Date_d_adjudication]])</f>
        <v>2022</v>
      </c>
      <c r="E1466" s="28">
        <f t="shared" si="24"/>
        <v>10</v>
      </c>
      <c r="F1466" s="15">
        <v>44860</v>
      </c>
      <c r="G1466" s="28">
        <v>91.873000000000005</v>
      </c>
      <c r="H1466" s="15">
        <v>45958</v>
      </c>
      <c r="I1466">
        <v>52.083300000000001</v>
      </c>
      <c r="J1466">
        <v>12000</v>
      </c>
      <c r="K1466" s="28">
        <v>6.5</v>
      </c>
      <c r="L1466">
        <v>9.69</v>
      </c>
    </row>
    <row r="1467" spans="1:12" ht="15" customHeight="1" x14ac:dyDescent="0.2">
      <c r="A1467" s="28" t="s">
        <v>7</v>
      </c>
      <c r="B1467" s="2" t="s">
        <v>29</v>
      </c>
      <c r="C1467" s="30">
        <v>1</v>
      </c>
      <c r="D1467" s="28">
        <f>YEAR(TableauFlitrage[[#This Row],[Date_d_adjudication]])</f>
        <v>2022</v>
      </c>
      <c r="E1467" s="28">
        <f t="shared" si="24"/>
        <v>10</v>
      </c>
      <c r="F1467" s="15">
        <v>44865</v>
      </c>
      <c r="G1467" s="28">
        <v>96.329667000000001</v>
      </c>
      <c r="H1467" s="15">
        <v>45231</v>
      </c>
      <c r="I1467">
        <v>130</v>
      </c>
      <c r="J1467">
        <v>10000</v>
      </c>
      <c r="K1467" s="28">
        <v>3.7683</v>
      </c>
    </row>
    <row r="1468" spans="1:12" ht="15" customHeight="1" x14ac:dyDescent="0.2">
      <c r="A1468" s="28" t="s">
        <v>19</v>
      </c>
      <c r="B1468" s="2" t="s">
        <v>29</v>
      </c>
      <c r="C1468" s="30">
        <v>0.5</v>
      </c>
      <c r="D1468" s="28">
        <f>YEAR(TableauFlitrage[[#This Row],[Date_d_adjudication]])</f>
        <v>2022</v>
      </c>
      <c r="E1468" s="28">
        <f t="shared" si="24"/>
        <v>10</v>
      </c>
      <c r="F1468" s="15">
        <v>44865</v>
      </c>
      <c r="G1468" s="28">
        <v>95.702777999999995</v>
      </c>
      <c r="H1468" s="15">
        <v>45049</v>
      </c>
      <c r="I1468">
        <v>50</v>
      </c>
      <c r="J1468">
        <v>10000</v>
      </c>
      <c r="K1468" s="28">
        <v>8.8817000000000004</v>
      </c>
    </row>
    <row r="1469" spans="1:12" ht="15" customHeight="1" x14ac:dyDescent="0.2">
      <c r="A1469" s="28" t="s">
        <v>8</v>
      </c>
      <c r="B1469" s="2" t="s">
        <v>29</v>
      </c>
      <c r="C1469" s="30">
        <v>0.5</v>
      </c>
      <c r="D1469" s="28">
        <f>YEAR(TableauFlitrage[[#This Row],[Date_d_adjudication]])</f>
        <v>2022</v>
      </c>
      <c r="E1469" s="28">
        <f t="shared" si="24"/>
        <v>11</v>
      </c>
      <c r="F1469" s="15">
        <v>44866</v>
      </c>
      <c r="G1469" s="28">
        <v>96.815539000000001</v>
      </c>
      <c r="H1469" s="15">
        <v>45050</v>
      </c>
      <c r="I1469">
        <v>60.916699999999999</v>
      </c>
      <c r="J1469">
        <v>12000</v>
      </c>
      <c r="K1469" s="28">
        <v>6.5061</v>
      </c>
    </row>
    <row r="1470" spans="1:12" ht="15" customHeight="1" x14ac:dyDescent="0.2">
      <c r="A1470" s="28" t="s">
        <v>8</v>
      </c>
      <c r="B1470" t="s">
        <v>30</v>
      </c>
      <c r="C1470" s="30" t="s">
        <v>53</v>
      </c>
      <c r="D1470" s="28">
        <f>YEAR(TableauFlitrage[[#This Row],[Date_d_adjudication]])</f>
        <v>2022</v>
      </c>
      <c r="E1470" s="28">
        <f t="shared" si="24"/>
        <v>11</v>
      </c>
      <c r="F1470" s="15">
        <v>44866</v>
      </c>
      <c r="G1470" s="28">
        <v>95</v>
      </c>
      <c r="H1470" s="15">
        <v>45599</v>
      </c>
      <c r="I1470">
        <v>82</v>
      </c>
      <c r="J1470">
        <v>25000</v>
      </c>
      <c r="K1470" s="28">
        <v>5.5</v>
      </c>
      <c r="L1470">
        <v>8.26</v>
      </c>
    </row>
    <row r="1471" spans="1:12" ht="15" customHeight="1" x14ac:dyDescent="0.2">
      <c r="A1471" s="28" t="s">
        <v>8</v>
      </c>
      <c r="B1471" t="s">
        <v>30</v>
      </c>
      <c r="C1471" s="30" t="s">
        <v>54</v>
      </c>
      <c r="D1471" s="28">
        <f>YEAR(TableauFlitrage[[#This Row],[Date_d_adjudication]])</f>
        <v>2022</v>
      </c>
      <c r="E1471" s="28">
        <f t="shared" si="24"/>
        <v>11</v>
      </c>
      <c r="F1471" s="15">
        <v>44866</v>
      </c>
      <c r="G1471" s="28">
        <v>94</v>
      </c>
      <c r="H1471" s="15">
        <v>45964</v>
      </c>
      <c r="I1471">
        <v>82</v>
      </c>
      <c r="J1471">
        <v>25000</v>
      </c>
      <c r="K1471" s="28">
        <v>6</v>
      </c>
      <c r="L1471">
        <v>8.3000000000000007</v>
      </c>
    </row>
    <row r="1472" spans="1:12" ht="15" customHeight="1" x14ac:dyDescent="0.2">
      <c r="A1472" s="28" t="s">
        <v>8</v>
      </c>
      <c r="B1472" t="s">
        <v>30</v>
      </c>
      <c r="C1472" s="30" t="s">
        <v>56</v>
      </c>
      <c r="D1472" s="28">
        <f>YEAR(TableauFlitrage[[#This Row],[Date_d_adjudication]])</f>
        <v>2022</v>
      </c>
      <c r="E1472" s="28">
        <f t="shared" si="24"/>
        <v>11</v>
      </c>
      <c r="F1472" s="15">
        <v>44866</v>
      </c>
      <c r="G1472" s="28">
        <v>93</v>
      </c>
      <c r="H1472" s="15">
        <v>46329</v>
      </c>
      <c r="I1472">
        <v>3</v>
      </c>
      <c r="J1472">
        <v>5000</v>
      </c>
      <c r="K1472" s="28">
        <v>6.3</v>
      </c>
      <c r="L1472">
        <v>8.4</v>
      </c>
    </row>
    <row r="1473" spans="1:12" ht="15" customHeight="1" x14ac:dyDescent="0.2">
      <c r="A1473" s="28" t="s">
        <v>8</v>
      </c>
      <c r="B1473" t="s">
        <v>30</v>
      </c>
      <c r="C1473" s="30" t="s">
        <v>55</v>
      </c>
      <c r="D1473" s="28">
        <f>YEAR(TableauFlitrage[[#This Row],[Date_d_adjudication]])</f>
        <v>2022</v>
      </c>
      <c r="E1473" s="28">
        <f t="shared" si="24"/>
        <v>11</v>
      </c>
      <c r="F1473" s="15">
        <v>44866</v>
      </c>
      <c r="G1473" s="28">
        <v>92</v>
      </c>
      <c r="H1473" s="15">
        <v>46694</v>
      </c>
      <c r="I1473">
        <v>16</v>
      </c>
      <c r="J1473">
        <v>5000</v>
      </c>
      <c r="K1473" s="28">
        <v>6.5</v>
      </c>
      <c r="L1473">
        <v>8.5</v>
      </c>
    </row>
    <row r="1474" spans="1:12" ht="15" customHeight="1" x14ac:dyDescent="0.2">
      <c r="A1474" s="28" t="s">
        <v>9</v>
      </c>
      <c r="B1474" s="2" t="s">
        <v>29</v>
      </c>
      <c r="C1474" s="30">
        <v>0.25</v>
      </c>
      <c r="D1474" s="28">
        <f>YEAR(TableauFlitrage[[#This Row],[Date_d_adjudication]])</f>
        <v>2022</v>
      </c>
      <c r="E1474" s="28">
        <f t="shared" si="24"/>
        <v>11</v>
      </c>
      <c r="F1474" s="15">
        <v>44867</v>
      </c>
      <c r="G1474" s="28">
        <v>98.739723999999995</v>
      </c>
      <c r="H1474" s="15">
        <v>44960</v>
      </c>
      <c r="I1474">
        <v>158.02670000000001</v>
      </c>
      <c r="J1474">
        <v>7500</v>
      </c>
      <c r="K1474" s="28">
        <v>5.0492999999999997</v>
      </c>
    </row>
    <row r="1475" spans="1:12" ht="15" customHeight="1" x14ac:dyDescent="0.2">
      <c r="A1475" s="28" t="s">
        <v>7</v>
      </c>
      <c r="B1475" s="2" t="s">
        <v>29</v>
      </c>
      <c r="C1475" s="30">
        <v>0.5</v>
      </c>
      <c r="D1475" s="28">
        <f>YEAR(TableauFlitrage[[#This Row],[Date_d_adjudication]])</f>
        <v>2022</v>
      </c>
      <c r="E1475" s="28">
        <f t="shared" si="24"/>
        <v>11</v>
      </c>
      <c r="F1475" s="15">
        <v>44872</v>
      </c>
      <c r="G1475" s="28">
        <v>98.265918999999997</v>
      </c>
      <c r="H1475" s="15">
        <v>45056</v>
      </c>
      <c r="I1475">
        <v>152.5</v>
      </c>
      <c r="J1475">
        <v>20000</v>
      </c>
      <c r="K1475" s="28">
        <v>3.4906000000000001</v>
      </c>
    </row>
    <row r="1476" spans="1:12" ht="15" customHeight="1" x14ac:dyDescent="0.2">
      <c r="A1476" s="28" t="s">
        <v>8</v>
      </c>
      <c r="B1476" s="2" t="s">
        <v>29</v>
      </c>
      <c r="C1476" s="30">
        <v>0.25</v>
      </c>
      <c r="D1476" s="28">
        <f>YEAR(TableauFlitrage[[#This Row],[Date_d_adjudication]])</f>
        <v>2022</v>
      </c>
      <c r="E1476" s="28">
        <f t="shared" si="24"/>
        <v>11</v>
      </c>
      <c r="F1476" s="15">
        <v>44873</v>
      </c>
      <c r="G1476" s="28">
        <v>98.519761000000003</v>
      </c>
      <c r="H1476" s="15">
        <v>44966</v>
      </c>
      <c r="I1476">
        <v>120.91</v>
      </c>
      <c r="J1476">
        <v>10000</v>
      </c>
      <c r="K1476" s="28">
        <v>5.9439000000000002</v>
      </c>
    </row>
    <row r="1477" spans="1:12" ht="15" customHeight="1" x14ac:dyDescent="0.2">
      <c r="A1477" s="28" t="s">
        <v>8</v>
      </c>
      <c r="B1477" s="2" t="s">
        <v>29</v>
      </c>
      <c r="C1477" s="30">
        <v>0.5</v>
      </c>
      <c r="D1477" s="28">
        <f>YEAR(TableauFlitrage[[#This Row],[Date_d_adjudication]])</f>
        <v>2022</v>
      </c>
      <c r="E1477" s="28">
        <f t="shared" si="24"/>
        <v>11</v>
      </c>
      <c r="F1477" s="15">
        <v>44873</v>
      </c>
      <c r="G1477" s="28">
        <v>96.727675000000005</v>
      </c>
      <c r="H1477" s="15">
        <v>45057</v>
      </c>
      <c r="I1477">
        <v>91.13</v>
      </c>
      <c r="J1477">
        <v>10000</v>
      </c>
      <c r="K1477" s="28">
        <v>6.6917</v>
      </c>
    </row>
    <row r="1478" spans="1:12" ht="15" customHeight="1" x14ac:dyDescent="0.2">
      <c r="A1478" s="28" t="s">
        <v>8</v>
      </c>
      <c r="B1478" t="s">
        <v>30</v>
      </c>
      <c r="C1478" s="30" t="s">
        <v>53</v>
      </c>
      <c r="D1478" s="28">
        <f>YEAR(TableauFlitrage[[#This Row],[Date_d_adjudication]])</f>
        <v>2022</v>
      </c>
      <c r="E1478" s="28">
        <f t="shared" si="24"/>
        <v>11</v>
      </c>
      <c r="F1478" s="15">
        <v>44873</v>
      </c>
      <c r="G1478" s="28">
        <v>93.106899999999996</v>
      </c>
      <c r="H1478" s="15">
        <v>45599</v>
      </c>
      <c r="I1478">
        <v>118</v>
      </c>
      <c r="J1478">
        <v>10000</v>
      </c>
      <c r="K1478" s="28">
        <v>5.5</v>
      </c>
      <c r="L1478">
        <v>9.36</v>
      </c>
    </row>
    <row r="1479" spans="1:12" ht="15" customHeight="1" x14ac:dyDescent="0.2">
      <c r="A1479" s="28" t="s">
        <v>8</v>
      </c>
      <c r="B1479" t="s">
        <v>30</v>
      </c>
      <c r="C1479" s="30" t="s">
        <v>54</v>
      </c>
      <c r="D1479" s="28">
        <f>YEAR(TableauFlitrage[[#This Row],[Date_d_adjudication]])</f>
        <v>2022</v>
      </c>
      <c r="E1479" s="28">
        <f t="shared" si="24"/>
        <v>11</v>
      </c>
      <c r="F1479" s="15">
        <v>44873</v>
      </c>
      <c r="G1479" s="28">
        <v>92.452100000000002</v>
      </c>
      <c r="H1479" s="15">
        <v>45964</v>
      </c>
      <c r="I1479">
        <v>106.77</v>
      </c>
      <c r="J1479">
        <v>10000</v>
      </c>
      <c r="K1479" s="28">
        <v>6</v>
      </c>
      <c r="L1479">
        <v>8.92</v>
      </c>
    </row>
    <row r="1480" spans="1:12" ht="15" customHeight="1" x14ac:dyDescent="0.2">
      <c r="A1480" s="28" t="s">
        <v>11</v>
      </c>
      <c r="B1480" s="2" t="s">
        <v>29</v>
      </c>
      <c r="C1480" s="30">
        <v>0.5</v>
      </c>
      <c r="D1480" s="28">
        <f>YEAR(TableauFlitrage[[#This Row],[Date_d_adjudication]])</f>
        <v>2022</v>
      </c>
      <c r="E1480" s="28">
        <f t="shared" si="24"/>
        <v>11</v>
      </c>
      <c r="F1480" s="15">
        <v>44874</v>
      </c>
      <c r="G1480" s="28">
        <v>96.714088000000004</v>
      </c>
      <c r="H1480" s="15">
        <v>45058</v>
      </c>
      <c r="I1480">
        <v>95.21</v>
      </c>
      <c r="J1480">
        <v>10000</v>
      </c>
      <c r="K1480" s="28">
        <v>6.5</v>
      </c>
    </row>
    <row r="1481" spans="1:12" ht="15" customHeight="1" x14ac:dyDescent="0.2">
      <c r="A1481" s="28" t="s">
        <v>11</v>
      </c>
      <c r="B1481" t="s">
        <v>30</v>
      </c>
      <c r="C1481" s="30" t="s">
        <v>54</v>
      </c>
      <c r="D1481" s="28">
        <f>YEAR(TableauFlitrage[[#This Row],[Date_d_adjudication]])</f>
        <v>2022</v>
      </c>
      <c r="E1481" s="28">
        <f t="shared" si="24"/>
        <v>11</v>
      </c>
      <c r="F1481" s="15">
        <v>44874</v>
      </c>
      <c r="G1481" s="28">
        <v>90.665000000000006</v>
      </c>
      <c r="H1481" s="15">
        <v>45972</v>
      </c>
      <c r="I1481">
        <v>65.91</v>
      </c>
      <c r="J1481">
        <v>25000</v>
      </c>
      <c r="K1481" s="28">
        <v>6.5</v>
      </c>
      <c r="L1481">
        <v>10.19</v>
      </c>
    </row>
    <row r="1482" spans="1:12" ht="15" customHeight="1" x14ac:dyDescent="0.2">
      <c r="A1482" s="28" t="s">
        <v>7</v>
      </c>
      <c r="B1482" t="s">
        <v>30</v>
      </c>
      <c r="C1482" s="30" t="s">
        <v>57</v>
      </c>
      <c r="D1482" s="28">
        <f>YEAR(TableauFlitrage[[#This Row],[Date_d_adjudication]])</f>
        <v>2022</v>
      </c>
      <c r="E1482" s="28">
        <f t="shared" si="24"/>
        <v>11</v>
      </c>
      <c r="F1482" s="15">
        <v>44879</v>
      </c>
      <c r="G1482" s="28">
        <v>97.310199999999995</v>
      </c>
      <c r="H1482" s="15">
        <v>47073</v>
      </c>
      <c r="I1482">
        <v>85</v>
      </c>
      <c r="J1482">
        <v>20000</v>
      </c>
      <c r="K1482" s="28">
        <v>6</v>
      </c>
      <c r="L1482">
        <v>6.55</v>
      </c>
    </row>
    <row r="1483" spans="1:12" ht="15" customHeight="1" x14ac:dyDescent="0.2">
      <c r="A1483" s="28" t="s">
        <v>14</v>
      </c>
      <c r="B1483" t="s">
        <v>30</v>
      </c>
      <c r="C1483" s="30" t="s">
        <v>54</v>
      </c>
      <c r="D1483" s="28">
        <f>YEAR(TableauFlitrage[[#This Row],[Date_d_adjudication]])</f>
        <v>2022</v>
      </c>
      <c r="E1483" s="28">
        <f t="shared" si="24"/>
        <v>11</v>
      </c>
      <c r="F1483" s="15">
        <v>44879</v>
      </c>
      <c r="G1483" s="28">
        <v>89.025099999999995</v>
      </c>
      <c r="H1483" s="15">
        <v>45942</v>
      </c>
      <c r="I1483">
        <v>80.688900000000004</v>
      </c>
      <c r="J1483">
        <v>10000</v>
      </c>
      <c r="K1483" s="28">
        <v>6.5</v>
      </c>
      <c r="L1483">
        <v>10.89</v>
      </c>
    </row>
    <row r="1484" spans="1:12" ht="15" customHeight="1" x14ac:dyDescent="0.2">
      <c r="A1484" s="28" t="s">
        <v>8</v>
      </c>
      <c r="B1484" s="2" t="s">
        <v>29</v>
      </c>
      <c r="C1484" s="30">
        <v>0.5</v>
      </c>
      <c r="D1484" s="28">
        <f>YEAR(TableauFlitrage[[#This Row],[Date_d_adjudication]])</f>
        <v>2022</v>
      </c>
      <c r="E1484" s="28">
        <f t="shared" si="24"/>
        <v>11</v>
      </c>
      <c r="F1484" s="15">
        <v>44880</v>
      </c>
      <c r="G1484" s="28">
        <v>96.740285999999998</v>
      </c>
      <c r="H1484" s="15">
        <v>45064</v>
      </c>
      <c r="I1484">
        <v>132.80000000000001</v>
      </c>
      <c r="J1484">
        <v>7000</v>
      </c>
      <c r="K1484" s="28">
        <v>6.665</v>
      </c>
    </row>
    <row r="1485" spans="1:12" ht="15" customHeight="1" x14ac:dyDescent="0.2">
      <c r="A1485" s="28" t="s">
        <v>9</v>
      </c>
      <c r="B1485" s="2" t="s">
        <v>29</v>
      </c>
      <c r="C1485" s="30">
        <v>0.25</v>
      </c>
      <c r="D1485" s="28">
        <f>YEAR(TableauFlitrage[[#This Row],[Date_d_adjudication]])</f>
        <v>2022</v>
      </c>
      <c r="E1485" s="28">
        <f t="shared" ref="E1485:E1538" si="25">MONTH(F1485)</f>
        <v>11</v>
      </c>
      <c r="F1485" s="15">
        <v>44881</v>
      </c>
      <c r="G1485" s="28">
        <v>98.747585000000001</v>
      </c>
      <c r="H1485" s="15">
        <v>44974</v>
      </c>
      <c r="I1485">
        <v>180.76840000000001</v>
      </c>
      <c r="J1485">
        <v>9500</v>
      </c>
      <c r="K1485" s="28">
        <v>5.0174000000000003</v>
      </c>
    </row>
    <row r="1486" spans="1:12" ht="15" customHeight="1" x14ac:dyDescent="0.2">
      <c r="A1486" s="28" t="s">
        <v>14</v>
      </c>
      <c r="B1486" t="s">
        <v>30</v>
      </c>
      <c r="C1486" s="30" t="s">
        <v>54</v>
      </c>
      <c r="D1486" s="28">
        <f>YEAR(TableauFlitrage[[#This Row],[Date_d_adjudication]])</f>
        <v>2022</v>
      </c>
      <c r="E1486" s="28">
        <f t="shared" si="25"/>
        <v>11</v>
      </c>
      <c r="F1486" s="15">
        <v>44886</v>
      </c>
      <c r="G1486" s="28">
        <v>89.025099999999995</v>
      </c>
      <c r="H1486" s="15">
        <v>45942</v>
      </c>
      <c r="I1486">
        <v>100.75</v>
      </c>
      <c r="J1486">
        <v>20000</v>
      </c>
      <c r="K1486" s="28">
        <v>6.5</v>
      </c>
      <c r="L1486">
        <v>11</v>
      </c>
    </row>
    <row r="1487" spans="1:12" ht="15" customHeight="1" x14ac:dyDescent="0.2">
      <c r="A1487" s="28" t="s">
        <v>8</v>
      </c>
      <c r="B1487" s="2" t="s">
        <v>29</v>
      </c>
      <c r="C1487" s="30">
        <v>0.5</v>
      </c>
      <c r="D1487" s="28">
        <f>YEAR(TableauFlitrage[[#This Row],[Date_d_adjudication]])</f>
        <v>2022</v>
      </c>
      <c r="E1487" s="28">
        <f t="shared" si="25"/>
        <v>11</v>
      </c>
      <c r="F1487" s="15">
        <v>44887</v>
      </c>
      <c r="G1487" s="28">
        <v>96.745012000000003</v>
      </c>
      <c r="H1487" s="15">
        <v>45071</v>
      </c>
      <c r="I1487">
        <v>71.959999999999994</v>
      </c>
      <c r="J1487">
        <v>15000</v>
      </c>
      <c r="K1487" s="28">
        <v>6.6551</v>
      </c>
    </row>
    <row r="1488" spans="1:12" ht="15" customHeight="1" x14ac:dyDescent="0.2">
      <c r="A1488" s="28" t="s">
        <v>8</v>
      </c>
      <c r="B1488" t="s">
        <v>30</v>
      </c>
      <c r="C1488" s="30" t="s">
        <v>55</v>
      </c>
      <c r="D1488" s="28">
        <f>YEAR(TableauFlitrage[[#This Row],[Date_d_adjudication]])</f>
        <v>2022</v>
      </c>
      <c r="E1488" s="28">
        <f t="shared" si="25"/>
        <v>11</v>
      </c>
      <c r="F1488" s="15">
        <v>44887</v>
      </c>
      <c r="G1488" s="28">
        <v>91.945999999999998</v>
      </c>
      <c r="H1488" s="15">
        <v>46694</v>
      </c>
      <c r="I1488">
        <v>76.6357</v>
      </c>
      <c r="J1488">
        <v>7000</v>
      </c>
      <c r="K1488" s="28">
        <v>6.5</v>
      </c>
      <c r="L1488">
        <v>8.51</v>
      </c>
    </row>
    <row r="1489" spans="1:12" ht="15" customHeight="1" x14ac:dyDescent="0.2">
      <c r="A1489" s="28" t="s">
        <v>8</v>
      </c>
      <c r="B1489" t="s">
        <v>30</v>
      </c>
      <c r="C1489" s="30" t="s">
        <v>53</v>
      </c>
      <c r="D1489" s="28">
        <f>YEAR(TableauFlitrage[[#This Row],[Date_d_adjudication]])</f>
        <v>2022</v>
      </c>
      <c r="E1489" s="28">
        <f t="shared" si="25"/>
        <v>11</v>
      </c>
      <c r="F1489" s="15">
        <v>44887</v>
      </c>
      <c r="G1489" s="28">
        <v>93.423699999999997</v>
      </c>
      <c r="H1489" s="15">
        <v>45620</v>
      </c>
      <c r="I1489">
        <v>42.865000000000002</v>
      </c>
      <c r="J1489">
        <v>20000</v>
      </c>
      <c r="K1489" s="28">
        <v>5.5</v>
      </c>
      <c r="L1489">
        <v>9.17</v>
      </c>
    </row>
    <row r="1490" spans="1:12" ht="15" customHeight="1" x14ac:dyDescent="0.2">
      <c r="A1490" s="28" t="s">
        <v>9</v>
      </c>
      <c r="B1490" s="2" t="s">
        <v>29</v>
      </c>
      <c r="C1490" s="30">
        <v>0.5</v>
      </c>
      <c r="D1490" s="28">
        <f>YEAR(TableauFlitrage[[#This Row],[Date_d_adjudication]])</f>
        <v>2022</v>
      </c>
      <c r="E1490" s="28">
        <f t="shared" si="25"/>
        <v>11</v>
      </c>
      <c r="F1490" s="15">
        <v>44888</v>
      </c>
      <c r="G1490" s="28">
        <v>97.219601999999995</v>
      </c>
      <c r="H1490" s="15">
        <v>45072</v>
      </c>
      <c r="I1490">
        <v>195.47499999999999</v>
      </c>
      <c r="J1490">
        <v>8000</v>
      </c>
      <c r="K1490" s="28">
        <v>5.657</v>
      </c>
    </row>
    <row r="1491" spans="1:12" ht="15" customHeight="1" x14ac:dyDescent="0.2">
      <c r="A1491" s="28" t="s">
        <v>9</v>
      </c>
      <c r="B1491" t="s">
        <v>30</v>
      </c>
      <c r="C1491" s="30" t="s">
        <v>55</v>
      </c>
      <c r="D1491" s="28">
        <f>YEAR(TableauFlitrage[[#This Row],[Date_d_adjudication]])</f>
        <v>2022</v>
      </c>
      <c r="E1491" s="28">
        <f t="shared" si="25"/>
        <v>11</v>
      </c>
      <c r="F1491" s="15">
        <v>44888</v>
      </c>
      <c r="G1491" s="28">
        <v>90.908000000000001</v>
      </c>
      <c r="H1491" s="15">
        <v>46716</v>
      </c>
      <c r="I1491">
        <v>62.254600000000003</v>
      </c>
      <c r="J1491">
        <v>25000</v>
      </c>
      <c r="K1491" s="28">
        <v>6.5</v>
      </c>
      <c r="L1491">
        <v>8.7899999999999991</v>
      </c>
    </row>
    <row r="1492" spans="1:12" ht="15" customHeight="1" x14ac:dyDescent="0.2">
      <c r="A1492" s="28" t="s">
        <v>7</v>
      </c>
      <c r="B1492" s="2" t="s">
        <v>29</v>
      </c>
      <c r="C1492" s="30">
        <v>0.25</v>
      </c>
      <c r="D1492" s="28">
        <f>YEAR(TableauFlitrage[[#This Row],[Date_d_adjudication]])</f>
        <v>2022</v>
      </c>
      <c r="E1492" s="28">
        <f t="shared" si="25"/>
        <v>11</v>
      </c>
      <c r="F1492" s="15">
        <v>44893</v>
      </c>
      <c r="G1492" s="28">
        <v>99.104204999999993</v>
      </c>
      <c r="H1492" s="15">
        <v>44986</v>
      </c>
      <c r="I1492">
        <v>89.42</v>
      </c>
      <c r="J1492">
        <v>50000</v>
      </c>
      <c r="K1492" s="28">
        <v>3.5750000000000002</v>
      </c>
    </row>
    <row r="1493" spans="1:12" ht="15" customHeight="1" x14ac:dyDescent="0.2">
      <c r="A1493" s="28" t="s">
        <v>8</v>
      </c>
      <c r="B1493" s="2" t="s">
        <v>29</v>
      </c>
      <c r="C1493" s="30">
        <v>0.5</v>
      </c>
      <c r="D1493" s="28">
        <f>YEAR(TableauFlitrage[[#This Row],[Date_d_adjudication]])</f>
        <v>2022</v>
      </c>
      <c r="E1493" s="28">
        <f t="shared" si="25"/>
        <v>11</v>
      </c>
      <c r="F1493" s="15">
        <v>44894</v>
      </c>
      <c r="G1493" s="28">
        <v>96.810947999999996</v>
      </c>
      <c r="H1493" s="15">
        <v>45078</v>
      </c>
      <c r="I1493">
        <v>98.563599999999994</v>
      </c>
      <c r="J1493">
        <v>11000</v>
      </c>
      <c r="K1493" s="28">
        <v>6.3079999999999998</v>
      </c>
    </row>
    <row r="1494" spans="1:12" ht="15" customHeight="1" x14ac:dyDescent="0.2">
      <c r="A1494" s="28" t="s">
        <v>9</v>
      </c>
      <c r="B1494" s="2" t="s">
        <v>29</v>
      </c>
      <c r="C1494" s="30">
        <v>0.5</v>
      </c>
      <c r="D1494" s="28">
        <f>YEAR(TableauFlitrage[[#This Row],[Date_d_adjudication]])</f>
        <v>2022</v>
      </c>
      <c r="E1494" s="28">
        <f t="shared" si="25"/>
        <v>11</v>
      </c>
      <c r="F1494" s="15">
        <v>44895</v>
      </c>
      <c r="G1494" s="28">
        <v>97.360444000000001</v>
      </c>
      <c r="H1494" s="15">
        <v>45079</v>
      </c>
      <c r="I1494">
        <v>133.125</v>
      </c>
      <c r="J1494">
        <v>8000</v>
      </c>
      <c r="K1494" s="28">
        <v>5.3627000000000002</v>
      </c>
    </row>
    <row r="1495" spans="1:12" ht="15" customHeight="1" x14ac:dyDescent="0.2">
      <c r="A1495" s="28" t="s">
        <v>11</v>
      </c>
      <c r="B1495" s="2" t="s">
        <v>29</v>
      </c>
      <c r="C1495" s="30">
        <v>0.5</v>
      </c>
      <c r="D1495" s="28">
        <f>YEAR(TableauFlitrage[[#This Row],[Date_d_adjudication]])</f>
        <v>2022</v>
      </c>
      <c r="E1495" s="28">
        <f t="shared" si="25"/>
        <v>11</v>
      </c>
      <c r="F1495" s="15">
        <v>44895</v>
      </c>
      <c r="G1495" s="28">
        <v>96.696725999999998</v>
      </c>
      <c r="H1495" s="15">
        <v>45079</v>
      </c>
      <c r="I1495">
        <v>72.166700000000006</v>
      </c>
      <c r="J1495">
        <v>15000</v>
      </c>
      <c r="K1495" s="28">
        <v>6.7572000000000001</v>
      </c>
    </row>
    <row r="1496" spans="1:12" ht="15" customHeight="1" x14ac:dyDescent="0.2">
      <c r="A1496" s="28" t="s">
        <v>11</v>
      </c>
      <c r="B1496" t="s">
        <v>30</v>
      </c>
      <c r="C1496" s="30" t="s">
        <v>54</v>
      </c>
      <c r="D1496" s="28">
        <f>YEAR(TableauFlitrage[[#This Row],[Date_d_adjudication]])</f>
        <v>2022</v>
      </c>
      <c r="E1496" s="28">
        <f t="shared" si="25"/>
        <v>11</v>
      </c>
      <c r="F1496" s="15">
        <v>44895</v>
      </c>
      <c r="G1496" s="28">
        <v>93.053700000000006</v>
      </c>
      <c r="H1496" s="15">
        <v>45993</v>
      </c>
      <c r="I1496">
        <v>74.861500000000007</v>
      </c>
      <c r="J1496">
        <v>20000</v>
      </c>
      <c r="K1496" s="28">
        <v>6.5</v>
      </c>
      <c r="L1496">
        <v>9.1999999999999993</v>
      </c>
    </row>
    <row r="1497" spans="1:12" ht="15" customHeight="1" x14ac:dyDescent="0.2">
      <c r="A1497" s="28" t="s">
        <v>8</v>
      </c>
      <c r="B1497" s="2" t="s">
        <v>29</v>
      </c>
      <c r="C1497" s="30">
        <v>0.25</v>
      </c>
      <c r="D1497" s="28">
        <f>YEAR(TableauFlitrage[[#This Row],[Date_d_adjudication]])</f>
        <v>2022</v>
      </c>
      <c r="E1497" s="28">
        <f t="shared" si="25"/>
        <v>12</v>
      </c>
      <c r="F1497" s="15">
        <v>44901</v>
      </c>
      <c r="G1497" s="28">
        <v>98.457502000000005</v>
      </c>
      <c r="H1497" s="15">
        <v>44994</v>
      </c>
      <c r="I1497">
        <v>62.681800000000003</v>
      </c>
      <c r="J1497">
        <v>11000</v>
      </c>
      <c r="K1497" s="28">
        <v>6.1978</v>
      </c>
    </row>
    <row r="1498" spans="1:12" ht="15" customHeight="1" x14ac:dyDescent="0.2">
      <c r="A1498" s="28" t="s">
        <v>8</v>
      </c>
      <c r="B1498" t="s">
        <v>30</v>
      </c>
      <c r="C1498" s="30" t="s">
        <v>54</v>
      </c>
      <c r="D1498" s="28">
        <f>YEAR(TableauFlitrage[[#This Row],[Date_d_adjudication]])</f>
        <v>2022</v>
      </c>
      <c r="E1498" s="28">
        <f t="shared" si="25"/>
        <v>12</v>
      </c>
      <c r="F1498" s="15">
        <v>44901</v>
      </c>
      <c r="G1498" s="28">
        <v>91.680999999999997</v>
      </c>
      <c r="H1498" s="15">
        <v>45999</v>
      </c>
      <c r="I1498">
        <v>110.7167</v>
      </c>
      <c r="J1498">
        <v>15000</v>
      </c>
      <c r="K1498" s="28">
        <v>5.75</v>
      </c>
      <c r="L1498">
        <v>8.9700000000000006</v>
      </c>
    </row>
    <row r="1499" spans="1:12" ht="15" customHeight="1" x14ac:dyDescent="0.2">
      <c r="A1499" s="28" t="s">
        <v>9</v>
      </c>
      <c r="B1499" s="2" t="s">
        <v>29</v>
      </c>
      <c r="C1499" s="30">
        <v>0.25</v>
      </c>
      <c r="D1499" s="28">
        <f>YEAR(TableauFlitrage[[#This Row],[Date_d_adjudication]])</f>
        <v>2022</v>
      </c>
      <c r="E1499" s="28">
        <f t="shared" si="25"/>
        <v>12</v>
      </c>
      <c r="F1499" s="15">
        <v>44902</v>
      </c>
      <c r="G1499" s="28">
        <v>98.699025000000006</v>
      </c>
      <c r="H1499" s="15">
        <v>44995</v>
      </c>
      <c r="I1499">
        <v>51.712499999999999</v>
      </c>
      <c r="J1499">
        <v>8000</v>
      </c>
      <c r="K1499" s="28">
        <v>5.2145999999999999</v>
      </c>
    </row>
    <row r="1500" spans="1:12" ht="15" customHeight="1" x14ac:dyDescent="0.2">
      <c r="A1500" s="28" t="s">
        <v>9</v>
      </c>
      <c r="B1500" t="s">
        <v>30</v>
      </c>
      <c r="C1500" s="30" t="s">
        <v>56</v>
      </c>
      <c r="D1500" s="28">
        <f>YEAR(TableauFlitrage[[#This Row],[Date_d_adjudication]])</f>
        <v>2022</v>
      </c>
      <c r="E1500" s="28">
        <f t="shared" si="25"/>
        <v>12</v>
      </c>
      <c r="F1500" s="15">
        <v>44902</v>
      </c>
      <c r="G1500" s="28">
        <v>90.3005</v>
      </c>
      <c r="H1500" s="15">
        <v>46365</v>
      </c>
      <c r="I1500">
        <v>14.055999999999999</v>
      </c>
      <c r="J1500">
        <v>25000</v>
      </c>
      <c r="K1500" s="28">
        <v>5.75</v>
      </c>
      <c r="L1500">
        <v>8.67</v>
      </c>
    </row>
    <row r="1501" spans="1:12" ht="15" customHeight="1" x14ac:dyDescent="0.2">
      <c r="A1501" s="28" t="s">
        <v>8</v>
      </c>
      <c r="B1501" s="2" t="s">
        <v>29</v>
      </c>
      <c r="C1501" s="30">
        <v>0.5</v>
      </c>
      <c r="D1501" s="28">
        <f>YEAR(TableauFlitrage[[#This Row],[Date_d_adjudication]])</f>
        <v>2022</v>
      </c>
      <c r="E1501" s="28">
        <f t="shared" si="25"/>
        <v>12</v>
      </c>
      <c r="F1501" s="15">
        <v>44908</v>
      </c>
      <c r="G1501" s="28">
        <v>96.780545000000004</v>
      </c>
      <c r="H1501" s="15">
        <v>45092</v>
      </c>
      <c r="I1501">
        <v>50.993299999999998</v>
      </c>
      <c r="J1501">
        <v>15000</v>
      </c>
      <c r="K1501" s="28">
        <v>6.58</v>
      </c>
    </row>
    <row r="1502" spans="1:12" ht="15" customHeight="1" x14ac:dyDescent="0.2">
      <c r="A1502" s="28" t="s">
        <v>8</v>
      </c>
      <c r="B1502" s="2" t="s">
        <v>29</v>
      </c>
      <c r="C1502" s="30">
        <v>1</v>
      </c>
      <c r="D1502" s="28">
        <f>YEAR(TableauFlitrage[[#This Row],[Date_d_adjudication]])</f>
        <v>2022</v>
      </c>
      <c r="E1502" s="28">
        <f t="shared" si="25"/>
        <v>12</v>
      </c>
      <c r="F1502" s="15">
        <v>44908</v>
      </c>
      <c r="G1502" s="28">
        <v>93.400919999999999</v>
      </c>
      <c r="H1502" s="15">
        <v>45274</v>
      </c>
      <c r="I1502">
        <v>110.65</v>
      </c>
      <c r="J1502">
        <v>8000</v>
      </c>
      <c r="K1502" s="28">
        <v>6.9877000000000002</v>
      </c>
    </row>
    <row r="1503" spans="1:12" ht="15" customHeight="1" x14ac:dyDescent="0.2">
      <c r="A1503" s="28" t="s">
        <v>9</v>
      </c>
      <c r="B1503" s="2" t="s">
        <v>29</v>
      </c>
      <c r="C1503" s="30">
        <v>0.5</v>
      </c>
      <c r="D1503" s="28">
        <f>YEAR(TableauFlitrage[[#This Row],[Date_d_adjudication]])</f>
        <v>2022</v>
      </c>
      <c r="E1503" s="28">
        <f t="shared" si="25"/>
        <v>12</v>
      </c>
      <c r="F1503" s="15">
        <v>44909</v>
      </c>
      <c r="G1503" s="28">
        <v>97.149897999999993</v>
      </c>
      <c r="H1503" s="15">
        <v>45093</v>
      </c>
      <c r="I1503">
        <v>77.599999999999994</v>
      </c>
      <c r="J1503">
        <v>10000</v>
      </c>
      <c r="K1503" s="28">
        <v>5.8029999999999999</v>
      </c>
    </row>
    <row r="1504" spans="1:12" ht="15" customHeight="1" x14ac:dyDescent="0.2">
      <c r="A1504" s="28" t="s">
        <v>11</v>
      </c>
      <c r="B1504" s="2" t="s">
        <v>29</v>
      </c>
      <c r="C1504" s="30">
        <v>0.5</v>
      </c>
      <c r="D1504" s="28">
        <f>YEAR(TableauFlitrage[[#This Row],[Date_d_adjudication]])</f>
        <v>2022</v>
      </c>
      <c r="E1504" s="28">
        <f t="shared" si="25"/>
        <v>12</v>
      </c>
      <c r="F1504" s="15">
        <v>44909</v>
      </c>
      <c r="G1504" s="28">
        <v>96.557440999999997</v>
      </c>
      <c r="H1504" s="15">
        <v>45093</v>
      </c>
      <c r="I1504">
        <v>62.19</v>
      </c>
      <c r="J1504">
        <v>30603</v>
      </c>
      <c r="K1504" s="28">
        <v>7.0522</v>
      </c>
    </row>
    <row r="1505" spans="1:12" ht="15" customHeight="1" x14ac:dyDescent="0.2">
      <c r="A1505" s="28" t="s">
        <v>7</v>
      </c>
      <c r="B1505" s="2" t="s">
        <v>29</v>
      </c>
      <c r="C1505" s="30">
        <v>0.5</v>
      </c>
      <c r="D1505" s="28">
        <f>YEAR(TableauFlitrage[[#This Row],[Date_d_adjudication]])</f>
        <v>2022</v>
      </c>
      <c r="E1505" s="28">
        <f t="shared" si="25"/>
        <v>12</v>
      </c>
      <c r="F1505" s="15">
        <v>44914</v>
      </c>
      <c r="G1505" s="28">
        <v>97.963875000000002</v>
      </c>
      <c r="H1505" s="15">
        <v>45098</v>
      </c>
      <c r="I1505">
        <v>130</v>
      </c>
      <c r="J1505">
        <v>20000</v>
      </c>
      <c r="K1505" s="28">
        <v>4.1112000000000002</v>
      </c>
    </row>
    <row r="1506" spans="1:12" ht="15" customHeight="1" x14ac:dyDescent="0.2">
      <c r="A1506" s="28" t="s">
        <v>8</v>
      </c>
      <c r="B1506" s="2" t="s">
        <v>29</v>
      </c>
      <c r="C1506" s="30">
        <v>0.5</v>
      </c>
      <c r="D1506" s="28">
        <f>YEAR(TableauFlitrage[[#This Row],[Date_d_adjudication]])</f>
        <v>2022</v>
      </c>
      <c r="E1506" s="28">
        <f t="shared" si="25"/>
        <v>12</v>
      </c>
      <c r="F1506" s="15">
        <v>44915</v>
      </c>
      <c r="G1506" s="28">
        <v>96.838684999999998</v>
      </c>
      <c r="H1506" s="15">
        <v>45099</v>
      </c>
      <c r="I1506">
        <v>44.214300000000001</v>
      </c>
      <c r="J1506">
        <v>7000</v>
      </c>
      <c r="K1506" s="28">
        <v>6.4573</v>
      </c>
    </row>
    <row r="1507" spans="1:12" ht="15" customHeight="1" x14ac:dyDescent="0.2">
      <c r="A1507" s="28" t="s">
        <v>8</v>
      </c>
      <c r="B1507" t="s">
        <v>30</v>
      </c>
      <c r="C1507" s="30" t="s">
        <v>53</v>
      </c>
      <c r="D1507" s="28">
        <f>YEAR(TableauFlitrage[[#This Row],[Date_d_adjudication]])</f>
        <v>2022</v>
      </c>
      <c r="E1507" s="28">
        <f t="shared" si="25"/>
        <v>12</v>
      </c>
      <c r="F1507" s="15">
        <v>44915</v>
      </c>
      <c r="G1507" s="28">
        <v>94</v>
      </c>
      <c r="H1507" s="15">
        <v>45648</v>
      </c>
      <c r="I1507">
        <v>7.375</v>
      </c>
      <c r="J1507">
        <v>40000</v>
      </c>
      <c r="K1507" s="28">
        <v>5.5</v>
      </c>
      <c r="L1507">
        <v>8.84</v>
      </c>
    </row>
    <row r="1508" spans="1:12" ht="15" customHeight="1" x14ac:dyDescent="0.2">
      <c r="A1508" s="28" t="s">
        <v>8</v>
      </c>
      <c r="B1508" t="s">
        <v>30</v>
      </c>
      <c r="C1508" s="30" t="s">
        <v>54</v>
      </c>
      <c r="D1508" s="28">
        <f>YEAR(TableauFlitrage[[#This Row],[Date_d_adjudication]])</f>
        <v>2022</v>
      </c>
      <c r="E1508" s="28">
        <f t="shared" si="25"/>
        <v>12</v>
      </c>
      <c r="F1508" s="15">
        <v>44915</v>
      </c>
      <c r="G1508" s="28">
        <v>93</v>
      </c>
      <c r="H1508" s="15">
        <v>46011</v>
      </c>
      <c r="I1508">
        <v>85.677499999999995</v>
      </c>
      <c r="J1508">
        <v>40000</v>
      </c>
      <c r="K1508" s="28">
        <v>6</v>
      </c>
      <c r="L1508">
        <v>8.6999999999999993</v>
      </c>
    </row>
    <row r="1509" spans="1:12" ht="15" customHeight="1" x14ac:dyDescent="0.2">
      <c r="A1509" s="28" t="s">
        <v>8</v>
      </c>
      <c r="B1509" t="s">
        <v>30</v>
      </c>
      <c r="C1509" s="30" t="s">
        <v>55</v>
      </c>
      <c r="D1509" s="28">
        <f>YEAR(TableauFlitrage[[#This Row],[Date_d_adjudication]])</f>
        <v>2022</v>
      </c>
      <c r="E1509" s="28">
        <f t="shared" si="25"/>
        <v>12</v>
      </c>
      <c r="F1509" s="15">
        <v>44915</v>
      </c>
      <c r="G1509" s="28">
        <v>91</v>
      </c>
      <c r="H1509" s="15">
        <v>46743</v>
      </c>
      <c r="I1509">
        <v>90.3</v>
      </c>
      <c r="J1509">
        <v>10000</v>
      </c>
      <c r="K1509" s="28">
        <v>6.5</v>
      </c>
      <c r="L1509">
        <v>8.76</v>
      </c>
    </row>
    <row r="1510" spans="1:12" ht="15" customHeight="1" x14ac:dyDescent="0.2">
      <c r="A1510" s="28" t="s">
        <v>9</v>
      </c>
      <c r="B1510" s="2" t="s">
        <v>29</v>
      </c>
      <c r="C1510" s="30">
        <v>0.25</v>
      </c>
      <c r="D1510" s="28">
        <f>YEAR(TableauFlitrage[[#This Row],[Date_d_adjudication]])</f>
        <v>2022</v>
      </c>
      <c r="E1510" s="28">
        <f t="shared" si="25"/>
        <v>12</v>
      </c>
      <c r="F1510" s="15">
        <v>44916</v>
      </c>
      <c r="G1510" s="28">
        <v>98.584221999999997</v>
      </c>
      <c r="H1510" s="15">
        <v>45009</v>
      </c>
      <c r="I1510">
        <v>67.972700000000003</v>
      </c>
      <c r="J1510">
        <v>11000</v>
      </c>
      <c r="K1510" s="28">
        <v>5.6813000000000002</v>
      </c>
    </row>
    <row r="1511" spans="1:12" ht="15" customHeight="1" x14ac:dyDescent="0.2">
      <c r="A1511" s="28" t="s">
        <v>11</v>
      </c>
      <c r="B1511" s="2" t="s">
        <v>29</v>
      </c>
      <c r="C1511" s="30">
        <v>0.5</v>
      </c>
      <c r="D1511" s="28">
        <f>YEAR(TableauFlitrage[[#This Row],[Date_d_adjudication]])</f>
        <v>2022</v>
      </c>
      <c r="E1511" s="28">
        <f t="shared" si="25"/>
        <v>12</v>
      </c>
      <c r="F1511" s="15">
        <v>44916</v>
      </c>
      <c r="G1511" s="28">
        <v>96.713888999999995</v>
      </c>
      <c r="H1511" s="15">
        <v>45100</v>
      </c>
      <c r="I1511">
        <v>95.093800000000002</v>
      </c>
      <c r="J1511">
        <v>16041</v>
      </c>
      <c r="K1511" s="28">
        <v>6.7209000000000003</v>
      </c>
    </row>
    <row r="1512" spans="1:12" ht="15" customHeight="1" x14ac:dyDescent="0.2">
      <c r="A1512" s="28" t="s">
        <v>9</v>
      </c>
      <c r="B1512" t="s">
        <v>30</v>
      </c>
      <c r="C1512" s="30" t="s">
        <v>56</v>
      </c>
      <c r="D1512" s="28">
        <f>YEAR(TableauFlitrage[[#This Row],[Date_d_adjudication]])</f>
        <v>2022</v>
      </c>
      <c r="E1512" s="28">
        <f t="shared" si="25"/>
        <v>12</v>
      </c>
      <c r="F1512" s="15">
        <v>44916</v>
      </c>
      <c r="G1512" s="28">
        <v>91.009900000000002</v>
      </c>
      <c r="H1512" s="15">
        <v>46365</v>
      </c>
      <c r="I1512">
        <v>31.333300000000001</v>
      </c>
      <c r="J1512">
        <v>15000</v>
      </c>
      <c r="K1512" s="28">
        <v>5.75</v>
      </c>
      <c r="L1512">
        <v>8.4499999999999993</v>
      </c>
    </row>
    <row r="1513" spans="1:12" ht="15" customHeight="1" x14ac:dyDescent="0.2">
      <c r="A1513" s="28" t="s">
        <v>9</v>
      </c>
      <c r="B1513" t="s">
        <v>30</v>
      </c>
      <c r="C1513" s="30" t="s">
        <v>55</v>
      </c>
      <c r="D1513" s="28">
        <f>YEAR(TableauFlitrage[[#This Row],[Date_d_adjudication]])</f>
        <v>2022</v>
      </c>
      <c r="E1513" s="28">
        <f t="shared" si="25"/>
        <v>12</v>
      </c>
      <c r="F1513" s="15">
        <v>44916</v>
      </c>
      <c r="G1513" s="28">
        <v>92.427899999999994</v>
      </c>
      <c r="H1513" s="15">
        <v>46716</v>
      </c>
      <c r="I1513">
        <v>7.9132999999999996</v>
      </c>
      <c r="J1513">
        <v>15000</v>
      </c>
      <c r="K1513" s="28">
        <v>6.5</v>
      </c>
      <c r="L1513">
        <v>8.39</v>
      </c>
    </row>
    <row r="1514" spans="1:12" ht="15" customHeight="1" x14ac:dyDescent="0.2">
      <c r="A1514" s="28" t="s">
        <v>8</v>
      </c>
      <c r="B1514" s="2" t="s">
        <v>29</v>
      </c>
      <c r="C1514" s="30">
        <v>0.25</v>
      </c>
      <c r="D1514" s="28">
        <f>YEAR(TableauFlitrage[[#This Row],[Date_d_adjudication]])</f>
        <v>2022</v>
      </c>
      <c r="E1514" s="28">
        <f t="shared" si="25"/>
        <v>12</v>
      </c>
      <c r="F1514" s="15">
        <v>44922</v>
      </c>
      <c r="G1514" s="28">
        <v>98.483333000000002</v>
      </c>
      <c r="H1514" s="15">
        <v>45015</v>
      </c>
      <c r="I1514">
        <v>22.142900000000001</v>
      </c>
      <c r="J1514">
        <v>7000</v>
      </c>
      <c r="K1514" s="28">
        <v>6.0923999999999996</v>
      </c>
    </row>
    <row r="1515" spans="1:12" ht="15" customHeight="1" x14ac:dyDescent="0.2">
      <c r="A1515" s="28" t="s">
        <v>8</v>
      </c>
      <c r="B1515" s="2" t="s">
        <v>29</v>
      </c>
      <c r="C1515" s="30">
        <v>0.5</v>
      </c>
      <c r="D1515" s="28">
        <f>YEAR(TableauFlitrage[[#This Row],[Date_d_adjudication]])</f>
        <v>2022</v>
      </c>
      <c r="E1515" s="28">
        <f t="shared" si="25"/>
        <v>12</v>
      </c>
      <c r="F1515" s="15">
        <v>44922</v>
      </c>
      <c r="G1515" s="28">
        <v>96.873509999999996</v>
      </c>
      <c r="H1515" s="15">
        <v>45106</v>
      </c>
      <c r="I1515">
        <v>39.071399999999997</v>
      </c>
      <c r="J1515">
        <v>7000</v>
      </c>
      <c r="K1515" s="28">
        <v>6.3838999999999997</v>
      </c>
    </row>
    <row r="1516" spans="1:12" ht="15" customHeight="1" x14ac:dyDescent="0.2">
      <c r="A1516" s="28" t="s">
        <v>8</v>
      </c>
      <c r="B1516" s="2" t="s">
        <v>29</v>
      </c>
      <c r="C1516" s="30">
        <v>1</v>
      </c>
      <c r="D1516" s="28">
        <f>YEAR(TableauFlitrage[[#This Row],[Date_d_adjudication]])</f>
        <v>2022</v>
      </c>
      <c r="E1516" s="28">
        <f t="shared" si="25"/>
        <v>12</v>
      </c>
      <c r="F1516" s="15">
        <v>44922</v>
      </c>
      <c r="G1516" s="28">
        <v>93.427778000000004</v>
      </c>
      <c r="H1516" s="15">
        <v>45288</v>
      </c>
      <c r="I1516">
        <v>88.066699999999997</v>
      </c>
      <c r="J1516">
        <v>30000</v>
      </c>
      <c r="K1516" s="28">
        <v>6.9572000000000003</v>
      </c>
    </row>
    <row r="1517" spans="1:12" ht="15" customHeight="1" x14ac:dyDescent="0.2">
      <c r="A1517" s="28" t="s">
        <v>8</v>
      </c>
      <c r="B1517" t="s">
        <v>30</v>
      </c>
      <c r="C1517" s="30" t="s">
        <v>53</v>
      </c>
      <c r="D1517" s="28">
        <f>YEAR(TableauFlitrage[[#This Row],[Date_d_adjudication]])</f>
        <v>2022</v>
      </c>
      <c r="E1517" s="28">
        <f t="shared" si="25"/>
        <v>12</v>
      </c>
      <c r="F1517" s="15">
        <v>44922</v>
      </c>
      <c r="G1517" s="28">
        <v>92.582800000000006</v>
      </c>
      <c r="H1517" s="15">
        <v>45648</v>
      </c>
      <c r="I1517">
        <v>40.755000000000003</v>
      </c>
      <c r="J1517">
        <v>20000</v>
      </c>
      <c r="K1517" s="28">
        <v>5.5</v>
      </c>
      <c r="L1517">
        <v>9.67</v>
      </c>
    </row>
    <row r="1518" spans="1:12" ht="15" customHeight="1" x14ac:dyDescent="0.2">
      <c r="A1518" s="28" t="s">
        <v>9</v>
      </c>
      <c r="B1518" s="2" t="s">
        <v>29</v>
      </c>
      <c r="C1518" s="30">
        <v>0.5</v>
      </c>
      <c r="D1518" s="28">
        <f>YEAR(TableauFlitrage[[#This Row],[Date_d_adjudication]])</f>
        <v>2022</v>
      </c>
      <c r="E1518" s="28">
        <f t="shared" si="25"/>
        <v>12</v>
      </c>
      <c r="F1518" s="15">
        <v>44923</v>
      </c>
      <c r="G1518" s="28">
        <v>97.036241000000004</v>
      </c>
      <c r="H1518" s="15">
        <v>45107</v>
      </c>
      <c r="I1518">
        <v>146.01</v>
      </c>
      <c r="J1518">
        <v>10000</v>
      </c>
      <c r="K1518" s="28">
        <v>6.0414000000000003</v>
      </c>
    </row>
    <row r="1519" spans="1:12" ht="15" customHeight="1" x14ac:dyDescent="0.2">
      <c r="A1519" s="28" t="s">
        <v>8</v>
      </c>
      <c r="B1519" s="2" t="s">
        <v>29</v>
      </c>
      <c r="C1519" s="30">
        <v>0.25</v>
      </c>
      <c r="D1519" s="28">
        <f>YEAR(TableauFlitrage[[#This Row],[Date_d_adjudication]])</f>
        <v>2023</v>
      </c>
      <c r="E1519" s="28">
        <f t="shared" si="25"/>
        <v>1</v>
      </c>
      <c r="F1519" s="15">
        <v>44929</v>
      </c>
      <c r="G1519" s="28">
        <v>98.541137000000006</v>
      </c>
      <c r="H1519" s="15">
        <v>45015</v>
      </c>
      <c r="I1519">
        <v>79.28</v>
      </c>
      <c r="J1519">
        <v>5000</v>
      </c>
      <c r="K1519" s="28">
        <v>6.3448000000000002</v>
      </c>
    </row>
    <row r="1520" spans="1:12" ht="15" customHeight="1" x14ac:dyDescent="0.2">
      <c r="A1520" s="28" t="s">
        <v>9</v>
      </c>
      <c r="B1520" s="2" t="s">
        <v>29</v>
      </c>
      <c r="C1520" s="30">
        <v>0.5</v>
      </c>
      <c r="D1520" s="28">
        <f>YEAR(TableauFlitrage[[#This Row],[Date_d_adjudication]])</f>
        <v>2023</v>
      </c>
      <c r="E1520" s="28">
        <f t="shared" si="25"/>
        <v>1</v>
      </c>
      <c r="F1520" s="15">
        <v>44930</v>
      </c>
      <c r="G1520" s="28">
        <v>97.030389</v>
      </c>
      <c r="H1520" s="15">
        <v>45114</v>
      </c>
      <c r="I1520">
        <v>86.4636</v>
      </c>
      <c r="J1520">
        <v>11000</v>
      </c>
      <c r="K1520" s="28">
        <v>6.0537000000000001</v>
      </c>
    </row>
    <row r="1521" spans="1:12" ht="15" customHeight="1" x14ac:dyDescent="0.2">
      <c r="A1521" s="28" t="s">
        <v>7</v>
      </c>
      <c r="B1521" s="2" t="s">
        <v>29</v>
      </c>
      <c r="C1521" s="30">
        <v>0.5</v>
      </c>
      <c r="D1521" s="28">
        <f>YEAR(TableauFlitrage[[#This Row],[Date_d_adjudication]])</f>
        <v>2023</v>
      </c>
      <c r="E1521" s="28">
        <f t="shared" si="25"/>
        <v>1</v>
      </c>
      <c r="F1521" s="15">
        <v>44935</v>
      </c>
      <c r="G1521" s="28">
        <v>97.851388999999998</v>
      </c>
      <c r="H1521" s="15">
        <v>45119</v>
      </c>
      <c r="I1521">
        <v>100</v>
      </c>
      <c r="J1521">
        <v>50000</v>
      </c>
      <c r="K1521" s="28">
        <v>4.3433000000000002</v>
      </c>
    </row>
    <row r="1522" spans="1:12" ht="15" customHeight="1" x14ac:dyDescent="0.2">
      <c r="A1522" s="28" t="s">
        <v>8</v>
      </c>
      <c r="B1522" s="2" t="s">
        <v>29</v>
      </c>
      <c r="C1522" s="30">
        <v>0.5</v>
      </c>
      <c r="D1522" s="28">
        <f>YEAR(TableauFlitrage[[#This Row],[Date_d_adjudication]])</f>
        <v>2023</v>
      </c>
      <c r="E1522" s="28">
        <f t="shared" si="25"/>
        <v>1</v>
      </c>
      <c r="F1522" s="15">
        <v>44936</v>
      </c>
      <c r="G1522" s="28">
        <v>96.666965000000005</v>
      </c>
      <c r="H1522" s="15">
        <v>45120</v>
      </c>
      <c r="I1522">
        <v>61.806699999999999</v>
      </c>
      <c r="J1522">
        <v>15000</v>
      </c>
      <c r="K1522" s="28">
        <v>6.8201000000000001</v>
      </c>
    </row>
    <row r="1523" spans="1:12" ht="15" customHeight="1" x14ac:dyDescent="0.2">
      <c r="A1523" s="28" t="s">
        <v>9</v>
      </c>
      <c r="B1523" s="2" t="s">
        <v>29</v>
      </c>
      <c r="C1523" s="30">
        <v>0.25</v>
      </c>
      <c r="D1523" s="28">
        <f>YEAR(TableauFlitrage[[#This Row],[Date_d_adjudication]])</f>
        <v>2023</v>
      </c>
      <c r="E1523" s="28">
        <f t="shared" si="25"/>
        <v>1</v>
      </c>
      <c r="F1523" s="15">
        <v>44937</v>
      </c>
      <c r="G1523" s="28">
        <v>98.743694000000005</v>
      </c>
      <c r="H1523" s="15">
        <v>45030</v>
      </c>
      <c r="I1523">
        <v>207.75</v>
      </c>
      <c r="J1523">
        <v>10000</v>
      </c>
      <c r="K1523" s="28">
        <v>5.0331999999999999</v>
      </c>
    </row>
    <row r="1524" spans="1:12" ht="15" customHeight="1" x14ac:dyDescent="0.2">
      <c r="A1524" s="28" t="s">
        <v>9</v>
      </c>
      <c r="B1524" t="s">
        <v>30</v>
      </c>
      <c r="C1524" s="30" t="s">
        <v>54</v>
      </c>
      <c r="D1524" s="28">
        <f>YEAR(TableauFlitrage[[#This Row],[Date_d_adjudication]])</f>
        <v>2023</v>
      </c>
      <c r="E1524" s="28">
        <f t="shared" si="25"/>
        <v>1</v>
      </c>
      <c r="F1524" s="15">
        <v>44937</v>
      </c>
      <c r="G1524" s="28">
        <v>93.059899999999999</v>
      </c>
      <c r="H1524" s="15">
        <v>46035</v>
      </c>
      <c r="I1524">
        <v>80.951999999999998</v>
      </c>
      <c r="J1524">
        <v>25000</v>
      </c>
      <c r="K1524" s="28">
        <v>5.5</v>
      </c>
      <c r="L1524">
        <v>8.15</v>
      </c>
    </row>
    <row r="1525" spans="1:12" ht="15" customHeight="1" x14ac:dyDescent="0.2">
      <c r="A1525" s="28" t="s">
        <v>7</v>
      </c>
      <c r="B1525" s="2" t="s">
        <v>29</v>
      </c>
      <c r="C1525" s="30">
        <v>0.5</v>
      </c>
      <c r="D1525" s="28">
        <f>YEAR(TableauFlitrage[[#This Row],[Date_d_adjudication]])</f>
        <v>2023</v>
      </c>
      <c r="E1525" s="28">
        <f t="shared" si="25"/>
        <v>1</v>
      </c>
      <c r="F1525" s="15">
        <v>44942</v>
      </c>
      <c r="G1525" s="28">
        <v>98.003371999999999</v>
      </c>
      <c r="H1525" s="15">
        <v>45126</v>
      </c>
      <c r="I1525">
        <v>45.05</v>
      </c>
      <c r="J1525">
        <v>20000</v>
      </c>
      <c r="K1525" s="28">
        <v>4.0297999999999998</v>
      </c>
    </row>
    <row r="1526" spans="1:12" ht="15" customHeight="1" x14ac:dyDescent="0.2">
      <c r="A1526" s="28" t="s">
        <v>10</v>
      </c>
      <c r="B1526" s="2" t="s">
        <v>29</v>
      </c>
      <c r="C1526" s="30">
        <v>0.5</v>
      </c>
      <c r="D1526" s="28">
        <f>YEAR(TableauFlitrage[[#This Row],[Date_d_adjudication]])</f>
        <v>2023</v>
      </c>
      <c r="E1526" s="28">
        <f t="shared" si="25"/>
        <v>1</v>
      </c>
      <c r="F1526" s="15">
        <v>44943</v>
      </c>
      <c r="G1526" s="28">
        <v>96.519069000000002</v>
      </c>
      <c r="H1526" s="15">
        <v>45127</v>
      </c>
      <c r="I1526">
        <v>79.844999999999999</v>
      </c>
      <c r="J1526">
        <v>20000</v>
      </c>
      <c r="K1526" s="28">
        <v>7.1337000000000002</v>
      </c>
    </row>
    <row r="1527" spans="1:12" ht="15" customHeight="1" x14ac:dyDescent="0.2">
      <c r="A1527" s="28" t="s">
        <v>8</v>
      </c>
      <c r="B1527" t="s">
        <v>30</v>
      </c>
      <c r="C1527" s="30" t="s">
        <v>53</v>
      </c>
      <c r="D1527" s="28">
        <f>YEAR(TableauFlitrage[[#This Row],[Date_d_adjudication]])</f>
        <v>2023</v>
      </c>
      <c r="E1527" s="28">
        <f t="shared" si="25"/>
        <v>1</v>
      </c>
      <c r="F1527" s="15">
        <v>44943</v>
      </c>
      <c r="G1527" s="28">
        <v>94</v>
      </c>
      <c r="H1527" s="15">
        <v>45676</v>
      </c>
      <c r="I1527">
        <v>137.13749999999999</v>
      </c>
      <c r="J1527">
        <v>40000</v>
      </c>
      <c r="K1527" s="28">
        <v>5.5</v>
      </c>
      <c r="L1527">
        <v>8.84</v>
      </c>
    </row>
    <row r="1528" spans="1:12" ht="15" customHeight="1" x14ac:dyDescent="0.2">
      <c r="A1528" s="28" t="s">
        <v>8</v>
      </c>
      <c r="B1528" t="s">
        <v>30</v>
      </c>
      <c r="C1528" s="30" t="s">
        <v>54</v>
      </c>
      <c r="D1528" s="28">
        <f>YEAR(TableauFlitrage[[#This Row],[Date_d_adjudication]])</f>
        <v>2023</v>
      </c>
      <c r="E1528" s="28">
        <f t="shared" si="25"/>
        <v>1</v>
      </c>
      <c r="F1528" s="15">
        <v>44943</v>
      </c>
      <c r="G1528" s="28">
        <v>94</v>
      </c>
      <c r="H1528" s="15">
        <v>46041</v>
      </c>
      <c r="I1528">
        <v>17.666699999999999</v>
      </c>
      <c r="J1528">
        <v>15000</v>
      </c>
      <c r="K1528" s="28">
        <v>5.75</v>
      </c>
      <c r="L1528">
        <v>8.0399999999999991</v>
      </c>
    </row>
    <row r="1529" spans="1:12" ht="15" customHeight="1" x14ac:dyDescent="0.2">
      <c r="A1529" s="28" t="s">
        <v>9</v>
      </c>
      <c r="B1529" s="2" t="s">
        <v>29</v>
      </c>
      <c r="C1529" s="30">
        <v>0.5</v>
      </c>
      <c r="D1529" s="28">
        <f>YEAR(TableauFlitrage[[#This Row],[Date_d_adjudication]])</f>
        <v>2023</v>
      </c>
      <c r="E1529" s="28">
        <f t="shared" si="25"/>
        <v>1</v>
      </c>
      <c r="F1529" s="15">
        <v>44944</v>
      </c>
      <c r="G1529" s="28">
        <v>97.032278000000005</v>
      </c>
      <c r="H1529" s="15">
        <v>45128</v>
      </c>
      <c r="I1529">
        <v>151.58670000000001</v>
      </c>
      <c r="J1529">
        <v>7500</v>
      </c>
      <c r="K1529" s="28">
        <v>6.0498000000000003</v>
      </c>
    </row>
    <row r="1530" spans="1:12" ht="15" customHeight="1" x14ac:dyDescent="0.2">
      <c r="A1530" s="28" t="s">
        <v>9</v>
      </c>
      <c r="B1530" t="s">
        <v>30</v>
      </c>
      <c r="C1530" s="30" t="s">
        <v>56</v>
      </c>
      <c r="D1530" s="28">
        <f>YEAR(TableauFlitrage[[#This Row],[Date_d_adjudication]])</f>
        <v>2023</v>
      </c>
      <c r="E1530" s="28">
        <f t="shared" si="25"/>
        <v>1</v>
      </c>
      <c r="F1530" s="15">
        <v>44944</v>
      </c>
      <c r="G1530" s="28">
        <v>89.898099999999999</v>
      </c>
      <c r="H1530" s="15">
        <v>46407</v>
      </c>
      <c r="I1530">
        <v>84.82</v>
      </c>
      <c r="J1530">
        <v>15000</v>
      </c>
      <c r="K1530" s="28">
        <v>5.75</v>
      </c>
      <c r="L1530">
        <v>8.8000000000000007</v>
      </c>
    </row>
    <row r="1531" spans="1:12" ht="15" customHeight="1" x14ac:dyDescent="0.2">
      <c r="A1531" s="28" t="s">
        <v>8</v>
      </c>
      <c r="B1531" s="2" t="s">
        <v>29</v>
      </c>
      <c r="C1531" s="30">
        <v>0.5</v>
      </c>
      <c r="D1531" s="28">
        <f>YEAR(TableauFlitrage[[#This Row],[Date_d_adjudication]])</f>
        <v>2023</v>
      </c>
      <c r="E1531" s="28">
        <f t="shared" si="25"/>
        <v>1</v>
      </c>
      <c r="F1531" s="15">
        <v>44950</v>
      </c>
      <c r="G1531" s="28">
        <v>96.843525</v>
      </c>
      <c r="H1531" s="15">
        <v>45134</v>
      </c>
      <c r="I1531">
        <v>51.06</v>
      </c>
      <c r="J1531">
        <v>10000</v>
      </c>
      <c r="K1531" s="28">
        <v>6.4470999999999998</v>
      </c>
    </row>
    <row r="1532" spans="1:12" ht="15" customHeight="1" x14ac:dyDescent="0.2">
      <c r="A1532" s="28" t="s">
        <v>8</v>
      </c>
      <c r="B1532" t="s">
        <v>30</v>
      </c>
      <c r="C1532" s="30" t="s">
        <v>53</v>
      </c>
      <c r="D1532" s="28">
        <f>YEAR(TableauFlitrage[[#This Row],[Date_d_adjudication]])</f>
        <v>2023</v>
      </c>
      <c r="E1532" s="28">
        <f t="shared" si="25"/>
        <v>1</v>
      </c>
      <c r="F1532" s="15">
        <v>44950</v>
      </c>
      <c r="G1532" s="28">
        <v>94.108900000000006</v>
      </c>
      <c r="H1532" s="15">
        <v>45676</v>
      </c>
      <c r="I1532">
        <v>74.275000000000006</v>
      </c>
      <c r="J1532">
        <v>20000</v>
      </c>
      <c r="K1532" s="28">
        <v>5.5</v>
      </c>
      <c r="L1532">
        <v>8.7799999999999994</v>
      </c>
    </row>
    <row r="1533" spans="1:12" ht="15" customHeight="1" x14ac:dyDescent="0.2">
      <c r="A1533" s="28" t="s">
        <v>8</v>
      </c>
      <c r="B1533" t="s">
        <v>30</v>
      </c>
      <c r="C1533" s="30" t="s">
        <v>54</v>
      </c>
      <c r="D1533" s="28">
        <f>YEAR(TableauFlitrage[[#This Row],[Date_d_adjudication]])</f>
        <v>2023</v>
      </c>
      <c r="E1533" s="28">
        <f t="shared" si="25"/>
        <v>1</v>
      </c>
      <c r="F1533" s="15">
        <v>44950</v>
      </c>
      <c r="G1533" s="28">
        <v>91.709400000000002</v>
      </c>
      <c r="H1533" s="15">
        <v>46041</v>
      </c>
      <c r="I1533">
        <v>17.857800000000001</v>
      </c>
      <c r="J1533">
        <v>15000</v>
      </c>
      <c r="K1533" s="28">
        <v>5.75</v>
      </c>
      <c r="L1533">
        <v>8.9600000000000009</v>
      </c>
    </row>
    <row r="1534" spans="1:12" ht="15" customHeight="1" x14ac:dyDescent="0.2">
      <c r="A1534" s="28" t="s">
        <v>9</v>
      </c>
      <c r="B1534" s="2" t="s">
        <v>29</v>
      </c>
      <c r="C1534" s="30">
        <v>0.25</v>
      </c>
      <c r="D1534" s="28">
        <f>YEAR(TableauFlitrage[[#This Row],[Date_d_adjudication]])</f>
        <v>2023</v>
      </c>
      <c r="E1534" s="28">
        <f t="shared" si="25"/>
        <v>1</v>
      </c>
      <c r="F1534" s="15">
        <v>44951</v>
      </c>
      <c r="G1534" s="28">
        <v>98.625394</v>
      </c>
      <c r="H1534" s="15">
        <v>45044</v>
      </c>
      <c r="I1534">
        <v>125.62</v>
      </c>
      <c r="J1534">
        <v>10000</v>
      </c>
      <c r="K1534" s="28">
        <v>5.5137999999999998</v>
      </c>
    </row>
    <row r="1535" spans="1:12" ht="15" customHeight="1" x14ac:dyDescent="0.2">
      <c r="A1535" s="28" t="s">
        <v>11</v>
      </c>
      <c r="B1535" s="2" t="s">
        <v>29</v>
      </c>
      <c r="C1535" s="30">
        <v>1</v>
      </c>
      <c r="D1535" s="28">
        <f>YEAR(TableauFlitrage[[#This Row],[Date_d_adjudication]])</f>
        <v>2023</v>
      </c>
      <c r="E1535" s="28">
        <f t="shared" si="25"/>
        <v>1</v>
      </c>
      <c r="F1535" s="15">
        <v>44951</v>
      </c>
      <c r="G1535" s="28">
        <v>93.432894000000005</v>
      </c>
      <c r="H1535" s="15">
        <v>45317</v>
      </c>
      <c r="I1535">
        <v>100.4337</v>
      </c>
      <c r="J1535">
        <v>8300</v>
      </c>
      <c r="K1535" s="28">
        <v>6.9513999999999996</v>
      </c>
    </row>
    <row r="1536" spans="1:12" ht="15" customHeight="1" x14ac:dyDescent="0.2">
      <c r="A1536" s="28" t="s">
        <v>14</v>
      </c>
      <c r="B1536" t="s">
        <v>30</v>
      </c>
      <c r="C1536" s="30" t="s">
        <v>54</v>
      </c>
      <c r="D1536" s="28">
        <f>YEAR(TableauFlitrage[[#This Row],[Date_d_adjudication]])</f>
        <v>2023</v>
      </c>
      <c r="E1536" s="28">
        <f t="shared" si="25"/>
        <v>1</v>
      </c>
      <c r="F1536" s="15">
        <v>44956</v>
      </c>
      <c r="G1536" s="28">
        <v>88.121600000000001</v>
      </c>
      <c r="H1536" s="15">
        <v>46054</v>
      </c>
      <c r="I1536">
        <v>52.634399999999999</v>
      </c>
      <c r="J1536">
        <v>12500</v>
      </c>
      <c r="K1536" s="28">
        <v>6.5</v>
      </c>
      <c r="L1536">
        <v>11.28</v>
      </c>
    </row>
    <row r="1537" spans="1:12" ht="15" customHeight="1" x14ac:dyDescent="0.2">
      <c r="A1537" s="28" t="s">
        <v>8</v>
      </c>
      <c r="B1537" s="2" t="s">
        <v>29</v>
      </c>
      <c r="C1537" s="30">
        <v>1</v>
      </c>
      <c r="D1537" s="28">
        <f>YEAR(TableauFlitrage[[#This Row],[Date_d_adjudication]])</f>
        <v>2023</v>
      </c>
      <c r="E1537" s="28">
        <f t="shared" si="25"/>
        <v>1</v>
      </c>
      <c r="F1537" s="15">
        <v>44957</v>
      </c>
      <c r="G1537" s="28">
        <v>93.416670999999994</v>
      </c>
      <c r="H1537" s="15">
        <v>45323</v>
      </c>
      <c r="I1537">
        <v>22.8</v>
      </c>
      <c r="J1537">
        <v>11000</v>
      </c>
      <c r="K1537" s="28">
        <v>6.9698000000000002</v>
      </c>
    </row>
    <row r="1538" spans="1:12" ht="15" customHeight="1" x14ac:dyDescent="0.2">
      <c r="A1538" s="28" t="s">
        <v>10</v>
      </c>
      <c r="B1538" s="2" t="s">
        <v>29</v>
      </c>
      <c r="C1538" s="30">
        <v>0.5</v>
      </c>
      <c r="D1538" s="28">
        <f>YEAR(TableauFlitrage[[#This Row],[Date_d_adjudication]])</f>
        <v>2023</v>
      </c>
      <c r="E1538" s="28">
        <f t="shared" si="25"/>
        <v>1</v>
      </c>
      <c r="F1538" s="15">
        <v>44957</v>
      </c>
      <c r="G1538" s="28">
        <v>96.305446000000003</v>
      </c>
      <c r="H1538" s="15">
        <v>45141</v>
      </c>
      <c r="I1538">
        <v>69.005300000000005</v>
      </c>
      <c r="J1538">
        <v>19000</v>
      </c>
      <c r="K1538" s="28">
        <v>7.5883000000000003</v>
      </c>
    </row>
    <row r="1539" spans="1:12" ht="15" customHeight="1" x14ac:dyDescent="0.2">
      <c r="A1539" s="28" t="s">
        <v>8</v>
      </c>
      <c r="B1539" t="s">
        <v>30</v>
      </c>
      <c r="C1539" s="30" t="s">
        <v>56</v>
      </c>
      <c r="D1539" s="28">
        <f>YEAR(TableauFlitrage[[#This Row],[Date_d_adjudication]])</f>
        <v>2023</v>
      </c>
      <c r="E1539" s="28">
        <f t="shared" ref="E1539:E1598" si="26">MONTH(F1539)</f>
        <v>1</v>
      </c>
      <c r="F1539" s="15">
        <v>44957</v>
      </c>
      <c r="G1539" s="28">
        <v>90.074700000000007</v>
      </c>
      <c r="H1539" s="15">
        <v>46420</v>
      </c>
      <c r="I1539">
        <v>94.84</v>
      </c>
      <c r="J1539">
        <v>10000</v>
      </c>
      <c r="K1539" s="28">
        <v>6.2</v>
      </c>
      <c r="L1539">
        <v>9.2200000000000006</v>
      </c>
    </row>
    <row r="1540" spans="1:12" ht="15" customHeight="1" x14ac:dyDescent="0.2">
      <c r="A1540" s="28" t="s">
        <v>11</v>
      </c>
      <c r="B1540" s="2" t="s">
        <v>29</v>
      </c>
      <c r="C1540" s="30">
        <v>0.5</v>
      </c>
      <c r="D1540" s="28">
        <f>YEAR(TableauFlitrage[[#This Row],[Date_d_adjudication]])</f>
        <v>2023</v>
      </c>
      <c r="E1540" s="28">
        <f t="shared" si="26"/>
        <v>2</v>
      </c>
      <c r="F1540" s="15">
        <v>44958</v>
      </c>
      <c r="G1540" s="28">
        <v>96.762529999999998</v>
      </c>
      <c r="H1540" s="15">
        <v>45142</v>
      </c>
      <c r="I1540">
        <v>116.9833</v>
      </c>
      <c r="J1540">
        <v>12000</v>
      </c>
      <c r="K1540" s="28">
        <v>6.7130999999999998</v>
      </c>
    </row>
    <row r="1541" spans="1:12" ht="15" customHeight="1" x14ac:dyDescent="0.2">
      <c r="A1541" s="28" t="s">
        <v>9</v>
      </c>
      <c r="B1541" s="2" t="s">
        <v>29</v>
      </c>
      <c r="C1541" s="30">
        <v>1</v>
      </c>
      <c r="D1541" s="28">
        <f>YEAR(TableauFlitrage[[#This Row],[Date_d_adjudication]])</f>
        <v>2023</v>
      </c>
      <c r="E1541" s="28">
        <f t="shared" si="26"/>
        <v>2</v>
      </c>
      <c r="F1541" s="15">
        <v>44958</v>
      </c>
      <c r="G1541" s="28">
        <v>93.947664000000003</v>
      </c>
      <c r="H1541" s="15">
        <v>45324</v>
      </c>
      <c r="I1541">
        <v>162.41329999999999</v>
      </c>
      <c r="J1541">
        <v>7500</v>
      </c>
      <c r="K1541" s="28">
        <v>6.3714000000000004</v>
      </c>
    </row>
    <row r="1542" spans="1:12" ht="15" customHeight="1" x14ac:dyDescent="0.2">
      <c r="A1542" s="28" t="s">
        <v>7</v>
      </c>
      <c r="B1542" s="2" t="s">
        <v>29</v>
      </c>
      <c r="C1542" s="30">
        <v>0.5</v>
      </c>
      <c r="D1542" s="28">
        <f>YEAR(TableauFlitrage[[#This Row],[Date_d_adjudication]])</f>
        <v>2023</v>
      </c>
      <c r="E1542" s="28">
        <f t="shared" si="26"/>
        <v>2</v>
      </c>
      <c r="F1542" s="15">
        <v>44963</v>
      </c>
      <c r="G1542" s="28">
        <v>97.957499999999996</v>
      </c>
      <c r="H1542" s="15">
        <v>45147</v>
      </c>
      <c r="I1542">
        <v>62.55</v>
      </c>
      <c r="J1542">
        <v>20000</v>
      </c>
      <c r="K1542" s="28">
        <v>4.1242000000000001</v>
      </c>
    </row>
    <row r="1543" spans="1:12" ht="15" customHeight="1" x14ac:dyDescent="0.2">
      <c r="A1543" s="28" t="s">
        <v>8</v>
      </c>
      <c r="B1543" s="2" t="s">
        <v>29</v>
      </c>
      <c r="C1543" s="30">
        <v>0.25</v>
      </c>
      <c r="D1543" s="28">
        <f>YEAR(TableauFlitrage[[#This Row],[Date_d_adjudication]])</f>
        <v>2023</v>
      </c>
      <c r="E1543" s="28">
        <f t="shared" si="26"/>
        <v>2</v>
      </c>
      <c r="F1543" s="15">
        <v>44964</v>
      </c>
      <c r="G1543" s="28">
        <v>98.357873999999995</v>
      </c>
      <c r="H1543" s="15">
        <v>45057</v>
      </c>
      <c r="I1543">
        <v>40.799999999999997</v>
      </c>
      <c r="J1543">
        <v>10000</v>
      </c>
      <c r="K1543" s="28">
        <v>6.6048</v>
      </c>
    </row>
    <row r="1544" spans="1:12" ht="15" customHeight="1" x14ac:dyDescent="0.2">
      <c r="A1544" s="28" t="s">
        <v>8</v>
      </c>
      <c r="B1544" s="2" t="s">
        <v>29</v>
      </c>
      <c r="C1544" s="30">
        <v>0.5</v>
      </c>
      <c r="D1544" s="28">
        <f>YEAR(TableauFlitrage[[#This Row],[Date_d_adjudication]])</f>
        <v>2023</v>
      </c>
      <c r="E1544" s="28">
        <f t="shared" si="26"/>
        <v>2</v>
      </c>
      <c r="F1544" s="15">
        <v>44964</v>
      </c>
      <c r="G1544" s="28">
        <v>96.682395999999997</v>
      </c>
      <c r="H1544" s="15">
        <v>45148</v>
      </c>
      <c r="I1544">
        <v>71.8</v>
      </c>
      <c r="J1544">
        <v>11000</v>
      </c>
      <c r="K1544" s="28">
        <v>6.7874999999999996</v>
      </c>
    </row>
    <row r="1545" spans="1:12" ht="15" customHeight="1" x14ac:dyDescent="0.2">
      <c r="A1545" s="28" t="s">
        <v>9</v>
      </c>
      <c r="B1545" s="2" t="s">
        <v>29</v>
      </c>
      <c r="C1545" s="30">
        <v>0.25</v>
      </c>
      <c r="D1545" s="28">
        <f>YEAR(TableauFlitrage[[#This Row],[Date_d_adjudication]])</f>
        <v>2023</v>
      </c>
      <c r="E1545" s="28">
        <f t="shared" si="26"/>
        <v>2</v>
      </c>
      <c r="F1545" s="15">
        <v>44965</v>
      </c>
      <c r="G1545" s="28">
        <v>98.641307999999995</v>
      </c>
      <c r="H1545" s="15">
        <v>45058</v>
      </c>
      <c r="I1545">
        <v>139.5909</v>
      </c>
      <c r="J1545">
        <v>11000</v>
      </c>
      <c r="K1545" s="28">
        <v>5.4490999999999996</v>
      </c>
    </row>
    <row r="1546" spans="1:12" ht="15" customHeight="1" x14ac:dyDescent="0.2">
      <c r="A1546" s="28" t="s">
        <v>8</v>
      </c>
      <c r="B1546" s="2" t="s">
        <v>29</v>
      </c>
      <c r="C1546" s="30">
        <v>0.25</v>
      </c>
      <c r="D1546" s="28">
        <f>YEAR(TableauFlitrage[[#This Row],[Date_d_adjudication]])</f>
        <v>2023</v>
      </c>
      <c r="E1546" s="28">
        <f t="shared" si="26"/>
        <v>2</v>
      </c>
      <c r="F1546" s="15">
        <v>44971</v>
      </c>
      <c r="G1546" s="28">
        <v>98.413722000000007</v>
      </c>
      <c r="H1546" s="15">
        <v>45064</v>
      </c>
      <c r="I1546">
        <v>102.23</v>
      </c>
      <c r="J1546">
        <v>10000</v>
      </c>
      <c r="K1546" s="28">
        <v>6.3765000000000001</v>
      </c>
    </row>
    <row r="1547" spans="1:12" ht="15" customHeight="1" x14ac:dyDescent="0.2">
      <c r="A1547" s="28" t="s">
        <v>8</v>
      </c>
      <c r="B1547" t="s">
        <v>30</v>
      </c>
      <c r="C1547" s="30" t="s">
        <v>54</v>
      </c>
      <c r="D1547" s="28">
        <f>YEAR(TableauFlitrage[[#This Row],[Date_d_adjudication]])</f>
        <v>2023</v>
      </c>
      <c r="E1547" s="28">
        <f t="shared" si="26"/>
        <v>2</v>
      </c>
      <c r="F1547" s="15">
        <v>44971</v>
      </c>
      <c r="G1547" s="28">
        <v>93.034899999999993</v>
      </c>
      <c r="H1547" s="15">
        <v>46069</v>
      </c>
      <c r="I1547">
        <v>6.6280000000000001</v>
      </c>
      <c r="J1547">
        <v>25000</v>
      </c>
      <c r="K1547" s="28">
        <v>5.75</v>
      </c>
      <c r="L1547">
        <v>8.43</v>
      </c>
    </row>
    <row r="1548" spans="1:12" ht="15" customHeight="1" x14ac:dyDescent="0.2">
      <c r="A1548" s="28" t="s">
        <v>8</v>
      </c>
      <c r="B1548" t="s">
        <v>30</v>
      </c>
      <c r="C1548" s="30" t="s">
        <v>53</v>
      </c>
      <c r="D1548" s="28">
        <f>YEAR(TableauFlitrage[[#This Row],[Date_d_adjudication]])</f>
        <v>2023</v>
      </c>
      <c r="E1548" s="28">
        <f t="shared" si="26"/>
        <v>2</v>
      </c>
      <c r="F1548" s="15">
        <v>44971</v>
      </c>
      <c r="G1548" s="28">
        <v>100</v>
      </c>
      <c r="H1548" s="15">
        <v>45704</v>
      </c>
      <c r="J1548">
        <v>41750.25</v>
      </c>
      <c r="K1548" s="28">
        <v>6.5</v>
      </c>
      <c r="L1548" t="s">
        <v>23</v>
      </c>
    </row>
    <row r="1549" spans="1:12" ht="15" customHeight="1" x14ac:dyDescent="0.2">
      <c r="A1549" s="28" t="s">
        <v>8</v>
      </c>
      <c r="B1549" t="s">
        <v>30</v>
      </c>
      <c r="C1549" s="30" t="s">
        <v>54</v>
      </c>
      <c r="D1549" s="28">
        <f>YEAR(TableauFlitrage[[#This Row],[Date_d_adjudication]])</f>
        <v>2023</v>
      </c>
      <c r="E1549" s="28">
        <f t="shared" si="26"/>
        <v>2</v>
      </c>
      <c r="F1549" s="15">
        <v>44971</v>
      </c>
      <c r="G1549" s="28">
        <v>100</v>
      </c>
      <c r="H1549" s="15">
        <v>46069</v>
      </c>
      <c r="J1549">
        <v>41750.25</v>
      </c>
      <c r="K1549" s="28">
        <v>6.5</v>
      </c>
      <c r="L1549" t="s">
        <v>23</v>
      </c>
    </row>
    <row r="1550" spans="1:12" ht="15" customHeight="1" x14ac:dyDescent="0.2">
      <c r="A1550" s="28" t="s">
        <v>8</v>
      </c>
      <c r="B1550" t="s">
        <v>30</v>
      </c>
      <c r="C1550" s="30" t="s">
        <v>56</v>
      </c>
      <c r="D1550" s="28">
        <f>YEAR(TableauFlitrage[[#This Row],[Date_d_adjudication]])</f>
        <v>2023</v>
      </c>
      <c r="E1550" s="28">
        <f t="shared" si="26"/>
        <v>2</v>
      </c>
      <c r="F1550" s="15">
        <v>44971</v>
      </c>
      <c r="G1550" s="28">
        <v>100</v>
      </c>
      <c r="H1550" s="15">
        <v>46434</v>
      </c>
      <c r="J1550">
        <v>41750.25</v>
      </c>
      <c r="K1550" s="28">
        <v>6.5</v>
      </c>
      <c r="L1550" t="s">
        <v>23</v>
      </c>
    </row>
    <row r="1551" spans="1:12" ht="15" customHeight="1" x14ac:dyDescent="0.2">
      <c r="A1551" s="28" t="s">
        <v>8</v>
      </c>
      <c r="B1551" t="s">
        <v>30</v>
      </c>
      <c r="C1551" s="30" t="s">
        <v>55</v>
      </c>
      <c r="D1551" s="28">
        <f>YEAR(TableauFlitrage[[#This Row],[Date_d_adjudication]])</f>
        <v>2023</v>
      </c>
      <c r="E1551" s="28">
        <f t="shared" si="26"/>
        <v>2</v>
      </c>
      <c r="F1551" s="15">
        <v>44971</v>
      </c>
      <c r="G1551" s="28">
        <v>100</v>
      </c>
      <c r="H1551" s="15">
        <v>46799</v>
      </c>
      <c r="J1551">
        <v>41750.25</v>
      </c>
      <c r="K1551" s="28">
        <v>6.5</v>
      </c>
      <c r="L1551" t="s">
        <v>23</v>
      </c>
    </row>
    <row r="1552" spans="1:12" ht="15" customHeight="1" x14ac:dyDescent="0.2">
      <c r="A1552" s="28" t="s">
        <v>8</v>
      </c>
      <c r="B1552" t="s">
        <v>30</v>
      </c>
      <c r="C1552" s="30" t="s">
        <v>57</v>
      </c>
      <c r="D1552" s="28">
        <f>YEAR(TableauFlitrage[[#This Row],[Date_d_adjudication]])</f>
        <v>2023</v>
      </c>
      <c r="E1552" s="28">
        <f t="shared" si="26"/>
        <v>2</v>
      </c>
      <c r="F1552" s="15">
        <v>44971</v>
      </c>
      <c r="G1552" s="28">
        <v>100</v>
      </c>
      <c r="H1552" s="15">
        <v>47165</v>
      </c>
      <c r="J1552">
        <v>41750.25</v>
      </c>
      <c r="K1552" s="28">
        <v>6.5</v>
      </c>
      <c r="L1552" t="s">
        <v>23</v>
      </c>
    </row>
    <row r="1553" spans="1:12" ht="15" customHeight="1" x14ac:dyDescent="0.2">
      <c r="A1553" s="28" t="s">
        <v>8</v>
      </c>
      <c r="B1553" t="s">
        <v>30</v>
      </c>
      <c r="C1553" s="30" t="s">
        <v>58</v>
      </c>
      <c r="D1553" s="28">
        <f>YEAR(TableauFlitrage[[#This Row],[Date_d_adjudication]])</f>
        <v>2023</v>
      </c>
      <c r="E1553" s="28">
        <f t="shared" si="26"/>
        <v>2</v>
      </c>
      <c r="F1553" s="15">
        <v>44971</v>
      </c>
      <c r="G1553" s="28">
        <v>100</v>
      </c>
      <c r="H1553" s="15">
        <v>47530</v>
      </c>
      <c r="J1553">
        <v>41750.25</v>
      </c>
      <c r="K1553" s="28">
        <v>6.5</v>
      </c>
      <c r="L1553" t="s">
        <v>23</v>
      </c>
    </row>
    <row r="1554" spans="1:12" ht="15" customHeight="1" x14ac:dyDescent="0.2">
      <c r="A1554" s="28" t="s">
        <v>8</v>
      </c>
      <c r="B1554" t="s">
        <v>30</v>
      </c>
      <c r="C1554" s="30" t="s">
        <v>59</v>
      </c>
      <c r="D1554" s="28">
        <f>YEAR(TableauFlitrage[[#This Row],[Date_d_adjudication]])</f>
        <v>2023</v>
      </c>
      <c r="E1554" s="28">
        <f t="shared" si="26"/>
        <v>2</v>
      </c>
      <c r="F1554" s="15">
        <v>44971</v>
      </c>
      <c r="G1554" s="28">
        <v>100</v>
      </c>
      <c r="H1554" s="15">
        <v>47895</v>
      </c>
      <c r="J1554">
        <v>41750.25</v>
      </c>
      <c r="K1554" s="28">
        <v>6.5</v>
      </c>
      <c r="L1554" t="s">
        <v>23</v>
      </c>
    </row>
    <row r="1555" spans="1:12" ht="15" customHeight="1" x14ac:dyDescent="0.2">
      <c r="A1555" s="28" t="s">
        <v>8</v>
      </c>
      <c r="B1555" t="s">
        <v>30</v>
      </c>
      <c r="C1555" s="30" t="s">
        <v>60</v>
      </c>
      <c r="D1555" s="28">
        <f>YEAR(TableauFlitrage[[#This Row],[Date_d_adjudication]])</f>
        <v>2023</v>
      </c>
      <c r="E1555" s="28">
        <f t="shared" si="26"/>
        <v>2</v>
      </c>
      <c r="F1555" s="15">
        <v>44971</v>
      </c>
      <c r="G1555" s="28">
        <v>100</v>
      </c>
      <c r="H1555" s="15">
        <v>48260</v>
      </c>
      <c r="J1555">
        <v>41750.25</v>
      </c>
      <c r="K1555" s="28">
        <v>6.5</v>
      </c>
      <c r="L1555" t="s">
        <v>23</v>
      </c>
    </row>
    <row r="1556" spans="1:12" ht="15" customHeight="1" x14ac:dyDescent="0.2">
      <c r="A1556" s="28" t="s">
        <v>9</v>
      </c>
      <c r="B1556" s="2" t="s">
        <v>29</v>
      </c>
      <c r="C1556" s="30">
        <v>0.25</v>
      </c>
      <c r="D1556" s="28">
        <f>YEAR(TableauFlitrage[[#This Row],[Date_d_adjudication]])</f>
        <v>2023</v>
      </c>
      <c r="E1556" s="28">
        <f t="shared" si="26"/>
        <v>2</v>
      </c>
      <c r="F1556" s="15">
        <v>44972</v>
      </c>
      <c r="G1556" s="28">
        <v>98.601894000000001</v>
      </c>
      <c r="H1556" s="15">
        <v>45065</v>
      </c>
      <c r="I1556">
        <v>85.566699999999997</v>
      </c>
      <c r="J1556">
        <v>9000</v>
      </c>
      <c r="K1556" s="28">
        <v>5.6093999999999999</v>
      </c>
    </row>
    <row r="1557" spans="1:12" ht="15" customHeight="1" x14ac:dyDescent="0.2">
      <c r="A1557" s="28" t="s">
        <v>9</v>
      </c>
      <c r="B1557" t="s">
        <v>30</v>
      </c>
      <c r="C1557" s="30" t="s">
        <v>55</v>
      </c>
      <c r="D1557" s="28">
        <f>YEAR(TableauFlitrage[[#This Row],[Date_d_adjudication]])</f>
        <v>2023</v>
      </c>
      <c r="E1557" s="28">
        <f t="shared" si="26"/>
        <v>2</v>
      </c>
      <c r="F1557" s="15">
        <v>44972</v>
      </c>
      <c r="G1557" s="28">
        <v>89.734399999999994</v>
      </c>
      <c r="H1557" s="15">
        <v>46800</v>
      </c>
      <c r="I1557">
        <v>76.574700000000007</v>
      </c>
      <c r="J1557">
        <v>25000</v>
      </c>
      <c r="K1557" s="28">
        <v>6.5</v>
      </c>
      <c r="L1557">
        <v>9.1</v>
      </c>
    </row>
    <row r="1558" spans="1:12" ht="15" customHeight="1" x14ac:dyDescent="0.2">
      <c r="A1558" s="28" t="s">
        <v>14</v>
      </c>
      <c r="B1558" t="s">
        <v>30</v>
      </c>
      <c r="C1558" s="30" t="s">
        <v>56</v>
      </c>
      <c r="D1558" s="28">
        <f>YEAR(TableauFlitrage[[#This Row],[Date_d_adjudication]])</f>
        <v>2023</v>
      </c>
      <c r="E1558" s="28">
        <f t="shared" si="26"/>
        <v>2</v>
      </c>
      <c r="F1558" s="15">
        <v>44977</v>
      </c>
      <c r="G1558" s="28">
        <v>87.491</v>
      </c>
      <c r="H1558" s="15">
        <v>46440</v>
      </c>
      <c r="I1558">
        <v>31.135999999999999</v>
      </c>
      <c r="J1558">
        <v>12500</v>
      </c>
      <c r="K1558" s="28">
        <v>6.5</v>
      </c>
      <c r="L1558">
        <v>10.4</v>
      </c>
    </row>
    <row r="1559" spans="1:12" ht="15" customHeight="1" x14ac:dyDescent="0.2">
      <c r="A1559" s="28" t="s">
        <v>8</v>
      </c>
      <c r="B1559" s="2" t="s">
        <v>29</v>
      </c>
      <c r="C1559" s="30">
        <v>0.5</v>
      </c>
      <c r="D1559" s="28">
        <f>YEAR(TableauFlitrage[[#This Row],[Date_d_adjudication]])</f>
        <v>2023</v>
      </c>
      <c r="E1559" s="28">
        <f t="shared" si="26"/>
        <v>2</v>
      </c>
      <c r="F1559" s="15">
        <v>44978</v>
      </c>
      <c r="G1559" s="28">
        <v>96.704103000000003</v>
      </c>
      <c r="H1559" s="15">
        <v>45162</v>
      </c>
      <c r="I1559">
        <v>55.55</v>
      </c>
      <c r="J1559">
        <v>10000</v>
      </c>
      <c r="K1559" s="28">
        <v>6.7416</v>
      </c>
    </row>
    <row r="1560" spans="1:12" ht="15" customHeight="1" x14ac:dyDescent="0.2">
      <c r="A1560" s="28" t="s">
        <v>8</v>
      </c>
      <c r="B1560" s="2" t="s">
        <v>29</v>
      </c>
      <c r="C1560" s="30">
        <v>1</v>
      </c>
      <c r="D1560" s="28">
        <f>YEAR(TableauFlitrage[[#This Row],[Date_d_adjudication]])</f>
        <v>2023</v>
      </c>
      <c r="E1560" s="28">
        <f t="shared" si="26"/>
        <v>2</v>
      </c>
      <c r="F1560" s="15">
        <v>44978</v>
      </c>
      <c r="G1560" s="28">
        <v>93.038499999999999</v>
      </c>
      <c r="H1560" s="15">
        <v>45344</v>
      </c>
      <c r="I1560">
        <v>100.6</v>
      </c>
      <c r="J1560">
        <v>10000</v>
      </c>
      <c r="K1560" s="28">
        <v>7.4001999999999999</v>
      </c>
    </row>
    <row r="1561" spans="1:12" ht="15" customHeight="1" x14ac:dyDescent="0.2">
      <c r="A1561" s="28" t="s">
        <v>8</v>
      </c>
      <c r="B1561" t="s">
        <v>30</v>
      </c>
      <c r="C1561" s="30" t="s">
        <v>54</v>
      </c>
      <c r="D1561" s="28">
        <f>YEAR(TableauFlitrage[[#This Row],[Date_d_adjudication]])</f>
        <v>2023</v>
      </c>
      <c r="E1561" s="28">
        <f t="shared" si="26"/>
        <v>2</v>
      </c>
      <c r="F1561" s="15">
        <v>44978</v>
      </c>
      <c r="G1561" s="28">
        <v>93.119500000000002</v>
      </c>
      <c r="H1561" s="15">
        <v>46069</v>
      </c>
      <c r="I1561">
        <v>80.290000000000006</v>
      </c>
      <c r="J1561">
        <v>20000</v>
      </c>
      <c r="K1561" s="28">
        <v>5.75</v>
      </c>
      <c r="L1561">
        <v>8.39</v>
      </c>
    </row>
    <row r="1562" spans="1:12" ht="15" customHeight="1" x14ac:dyDescent="0.2">
      <c r="A1562" s="28" t="s">
        <v>8</v>
      </c>
      <c r="B1562" t="s">
        <v>30</v>
      </c>
      <c r="C1562" s="30" t="s">
        <v>56</v>
      </c>
      <c r="D1562" s="28">
        <f>YEAR(TableauFlitrage[[#This Row],[Date_d_adjudication]])</f>
        <v>2023</v>
      </c>
      <c r="E1562" s="28">
        <f t="shared" si="26"/>
        <v>2</v>
      </c>
      <c r="F1562" s="15">
        <v>44978</v>
      </c>
      <c r="G1562" s="28">
        <v>90.363699999999994</v>
      </c>
      <c r="H1562" s="15">
        <v>46420</v>
      </c>
      <c r="I1562">
        <v>100.9</v>
      </c>
      <c r="J1562">
        <v>5000</v>
      </c>
      <c r="K1562" s="28">
        <v>6.2</v>
      </c>
      <c r="L1562">
        <v>9.1300000000000008</v>
      </c>
    </row>
    <row r="1563" spans="1:12" ht="15" customHeight="1" x14ac:dyDescent="0.2">
      <c r="A1563" s="28" t="s">
        <v>9</v>
      </c>
      <c r="B1563" s="2" t="s">
        <v>29</v>
      </c>
      <c r="C1563" s="30">
        <v>0.5</v>
      </c>
      <c r="D1563" s="28">
        <f>YEAR(TableauFlitrage[[#This Row],[Date_d_adjudication]])</f>
        <v>2023</v>
      </c>
      <c r="E1563" s="28">
        <f t="shared" si="26"/>
        <v>2</v>
      </c>
      <c r="F1563" s="15">
        <v>44979</v>
      </c>
      <c r="G1563" s="28">
        <v>97.023357000000004</v>
      </c>
      <c r="H1563" s="15">
        <v>45163</v>
      </c>
      <c r="I1563">
        <v>69.95</v>
      </c>
      <c r="J1563">
        <v>10000</v>
      </c>
      <c r="K1563" s="28">
        <v>6.0685000000000002</v>
      </c>
    </row>
    <row r="1564" spans="1:12" ht="15" customHeight="1" x14ac:dyDescent="0.2">
      <c r="A1564" s="28" t="s">
        <v>11</v>
      </c>
      <c r="B1564" s="2" t="s">
        <v>29</v>
      </c>
      <c r="C1564" s="30">
        <v>0.5</v>
      </c>
      <c r="D1564" s="28">
        <f>YEAR(TableauFlitrage[[#This Row],[Date_d_adjudication]])</f>
        <v>2023</v>
      </c>
      <c r="E1564" s="28">
        <f t="shared" si="26"/>
        <v>2</v>
      </c>
      <c r="F1564" s="15">
        <v>44979</v>
      </c>
      <c r="G1564" s="28">
        <v>96.713888999999995</v>
      </c>
      <c r="H1564" s="15">
        <v>45163</v>
      </c>
      <c r="I1564">
        <v>50.96</v>
      </c>
      <c r="J1564">
        <v>15000</v>
      </c>
      <c r="K1564" s="28">
        <v>6.7209000000000003</v>
      </c>
    </row>
    <row r="1565" spans="1:12" ht="15" customHeight="1" x14ac:dyDescent="0.2">
      <c r="A1565" s="28" t="s">
        <v>7</v>
      </c>
      <c r="B1565" s="2" t="s">
        <v>29</v>
      </c>
      <c r="C1565" s="30">
        <v>0.25</v>
      </c>
      <c r="D1565" s="28">
        <f>YEAR(TableauFlitrage[[#This Row],[Date_d_adjudication]])</f>
        <v>2023</v>
      </c>
      <c r="E1565" s="28">
        <f t="shared" si="26"/>
        <v>2</v>
      </c>
      <c r="F1565" s="15">
        <v>44984</v>
      </c>
      <c r="G1565" s="28">
        <v>99.007846999999998</v>
      </c>
      <c r="H1565" s="15">
        <v>45077</v>
      </c>
      <c r="I1565">
        <v>68</v>
      </c>
      <c r="J1565">
        <v>25000</v>
      </c>
      <c r="K1565" s="28">
        <v>3.9643000000000002</v>
      </c>
    </row>
    <row r="1566" spans="1:12" ht="15" customHeight="1" x14ac:dyDescent="0.2">
      <c r="A1566" s="28" t="s">
        <v>7</v>
      </c>
      <c r="B1566" s="2" t="s">
        <v>29</v>
      </c>
      <c r="C1566" s="30">
        <v>0.5</v>
      </c>
      <c r="D1566" s="28">
        <f>YEAR(TableauFlitrage[[#This Row],[Date_d_adjudication]])</f>
        <v>2023</v>
      </c>
      <c r="E1566" s="28">
        <f t="shared" si="26"/>
        <v>2</v>
      </c>
      <c r="F1566" s="15">
        <v>44984</v>
      </c>
      <c r="G1566" s="28">
        <v>97.76</v>
      </c>
      <c r="H1566" s="15">
        <v>45168</v>
      </c>
      <c r="I1566">
        <v>78</v>
      </c>
      <c r="J1566">
        <v>25000</v>
      </c>
      <c r="K1566" s="28">
        <v>4.5323000000000002</v>
      </c>
    </row>
    <row r="1567" spans="1:12" ht="15" customHeight="1" x14ac:dyDescent="0.2">
      <c r="A1567" s="28" t="s">
        <v>8</v>
      </c>
      <c r="B1567" s="2" t="s">
        <v>29</v>
      </c>
      <c r="C1567" s="30">
        <v>0.5</v>
      </c>
      <c r="D1567" s="28">
        <f>YEAR(TableauFlitrage[[#This Row],[Date_d_adjudication]])</f>
        <v>2023</v>
      </c>
      <c r="E1567" s="28">
        <f t="shared" si="26"/>
        <v>2</v>
      </c>
      <c r="F1567" s="15">
        <v>44985</v>
      </c>
      <c r="G1567" s="28">
        <v>96.730176</v>
      </c>
      <c r="H1567" s="15">
        <v>45169</v>
      </c>
      <c r="I1567">
        <v>75</v>
      </c>
      <c r="J1567">
        <v>9000</v>
      </c>
      <c r="K1567" s="28">
        <v>6.6863999999999999</v>
      </c>
    </row>
    <row r="1568" spans="1:12" ht="15" customHeight="1" x14ac:dyDescent="0.2">
      <c r="A1568" s="28" t="s">
        <v>9</v>
      </c>
      <c r="B1568" s="2" t="s">
        <v>29</v>
      </c>
      <c r="C1568" s="30">
        <v>0.5</v>
      </c>
      <c r="D1568" s="28">
        <f>YEAR(TableauFlitrage[[#This Row],[Date_d_adjudication]])</f>
        <v>2023</v>
      </c>
      <c r="E1568" s="28">
        <f t="shared" si="26"/>
        <v>3</v>
      </c>
      <c r="F1568" s="15">
        <v>44986</v>
      </c>
      <c r="G1568" s="28">
        <v>97.050200000000004</v>
      </c>
      <c r="H1568" s="15">
        <v>45170</v>
      </c>
      <c r="I1568">
        <v>83.7</v>
      </c>
      <c r="J1568">
        <v>10000</v>
      </c>
      <c r="K1568" s="28">
        <v>6.0121000000000002</v>
      </c>
    </row>
    <row r="1569" spans="1:12" ht="15" customHeight="1" x14ac:dyDescent="0.2">
      <c r="A1569" s="28" t="s">
        <v>7</v>
      </c>
      <c r="B1569" t="s">
        <v>30</v>
      </c>
      <c r="C1569" s="30" t="s">
        <v>55</v>
      </c>
      <c r="D1569" s="28">
        <f>YEAR(TableauFlitrage[[#This Row],[Date_d_adjudication]])</f>
        <v>2023</v>
      </c>
      <c r="E1569" s="28">
        <f t="shared" si="26"/>
        <v>3</v>
      </c>
      <c r="F1569" s="15">
        <v>44991</v>
      </c>
      <c r="G1569" s="28">
        <v>97.244799999999998</v>
      </c>
      <c r="H1569" s="15">
        <v>46820</v>
      </c>
      <c r="I1569">
        <v>73.333299999999994</v>
      </c>
      <c r="J1569">
        <v>30000</v>
      </c>
      <c r="K1569" s="28">
        <v>5.75</v>
      </c>
      <c r="L1569">
        <v>6.4</v>
      </c>
    </row>
    <row r="1570" spans="1:12" ht="15" customHeight="1" x14ac:dyDescent="0.2">
      <c r="A1570" s="28" t="s">
        <v>8</v>
      </c>
      <c r="B1570" s="2" t="s">
        <v>29</v>
      </c>
      <c r="C1570" s="30">
        <v>1</v>
      </c>
      <c r="D1570" s="28">
        <f>YEAR(TableauFlitrage[[#This Row],[Date_d_adjudication]])</f>
        <v>2023</v>
      </c>
      <c r="E1570" s="28">
        <f t="shared" si="26"/>
        <v>3</v>
      </c>
      <c r="F1570" s="15">
        <v>44992</v>
      </c>
      <c r="G1570" s="28">
        <v>93.446914000000007</v>
      </c>
      <c r="H1570" s="15">
        <v>45358</v>
      </c>
      <c r="I1570">
        <v>116.58</v>
      </c>
      <c r="J1570">
        <v>5000</v>
      </c>
      <c r="K1570" s="28">
        <v>6.9356</v>
      </c>
    </row>
    <row r="1571" spans="1:12" ht="15" customHeight="1" x14ac:dyDescent="0.2">
      <c r="A1571" s="28" t="s">
        <v>8</v>
      </c>
      <c r="B1571" s="2" t="s">
        <v>29</v>
      </c>
      <c r="C1571" s="30">
        <v>0.25</v>
      </c>
      <c r="D1571" s="28">
        <f>YEAR(TableauFlitrage[[#This Row],[Date_d_adjudication]])</f>
        <v>2023</v>
      </c>
      <c r="E1571" s="28">
        <f t="shared" si="26"/>
        <v>3</v>
      </c>
      <c r="F1571" s="15">
        <v>44992</v>
      </c>
      <c r="G1571" s="28">
        <v>98.493323000000004</v>
      </c>
      <c r="H1571" s="15">
        <v>45085</v>
      </c>
      <c r="I1571">
        <v>96.01</v>
      </c>
      <c r="J1571">
        <v>10000</v>
      </c>
      <c r="K1571" s="28">
        <v>6.0517000000000003</v>
      </c>
    </row>
    <row r="1572" spans="1:12" ht="15" customHeight="1" x14ac:dyDescent="0.2">
      <c r="A1572" s="28" t="s">
        <v>9</v>
      </c>
      <c r="B1572" s="2" t="s">
        <v>29</v>
      </c>
      <c r="C1572" s="30">
        <v>1</v>
      </c>
      <c r="D1572" s="28">
        <f>YEAR(TableauFlitrage[[#This Row],[Date_d_adjudication]])</f>
        <v>2023</v>
      </c>
      <c r="E1572" s="28">
        <f t="shared" si="26"/>
        <v>3</v>
      </c>
      <c r="F1572" s="15">
        <v>44993</v>
      </c>
      <c r="G1572" s="28">
        <v>93.733393000000007</v>
      </c>
      <c r="H1572" s="15">
        <v>45359</v>
      </c>
      <c r="I1572">
        <v>72.413300000000007</v>
      </c>
      <c r="J1572">
        <v>7500</v>
      </c>
      <c r="K1572" s="28">
        <v>6.6120999999999999</v>
      </c>
    </row>
    <row r="1573" spans="1:12" ht="15" customHeight="1" x14ac:dyDescent="0.2">
      <c r="A1573" s="28" t="s">
        <v>11</v>
      </c>
      <c r="B1573" s="2" t="s">
        <v>29</v>
      </c>
      <c r="C1573" s="30">
        <v>0.5</v>
      </c>
      <c r="D1573" s="28">
        <f>YEAR(TableauFlitrage[[#This Row],[Date_d_adjudication]])</f>
        <v>2023</v>
      </c>
      <c r="E1573" s="28">
        <f t="shared" si="26"/>
        <v>3</v>
      </c>
      <c r="F1573" s="15">
        <v>44993</v>
      </c>
      <c r="G1573" s="28">
        <v>96.713888999999995</v>
      </c>
      <c r="H1573" s="15">
        <v>45177</v>
      </c>
      <c r="I1573">
        <v>66.8</v>
      </c>
      <c r="J1573">
        <v>15000</v>
      </c>
      <c r="K1573" s="28">
        <v>6.5</v>
      </c>
    </row>
    <row r="1574" spans="1:12" ht="15" customHeight="1" x14ac:dyDescent="0.2">
      <c r="A1574" s="28" t="s">
        <v>7</v>
      </c>
      <c r="B1574" s="2" t="s">
        <v>29</v>
      </c>
      <c r="C1574" s="30">
        <v>0.5</v>
      </c>
      <c r="D1574" s="28">
        <f>YEAR(TableauFlitrage[[#This Row],[Date_d_adjudication]])</f>
        <v>2023</v>
      </c>
      <c r="E1574" s="28">
        <f t="shared" si="26"/>
        <v>3</v>
      </c>
      <c r="F1574" s="15">
        <v>44998</v>
      </c>
      <c r="G1574" s="28">
        <v>97.851388999999998</v>
      </c>
      <c r="H1574" s="15">
        <v>45182</v>
      </c>
      <c r="I1574">
        <v>33.4</v>
      </c>
      <c r="J1574">
        <v>15000</v>
      </c>
      <c r="K1574" s="28">
        <v>4.3433000000000002</v>
      </c>
    </row>
    <row r="1575" spans="1:12" ht="15" customHeight="1" x14ac:dyDescent="0.2">
      <c r="A1575" s="28" t="s">
        <v>10</v>
      </c>
      <c r="B1575" s="2" t="s">
        <v>29</v>
      </c>
      <c r="C1575" s="30">
        <v>0.5</v>
      </c>
      <c r="D1575" s="28">
        <f>YEAR(TableauFlitrage[[#This Row],[Date_d_adjudication]])</f>
        <v>2023</v>
      </c>
      <c r="E1575" s="28">
        <f t="shared" si="26"/>
        <v>3</v>
      </c>
      <c r="F1575" s="15">
        <v>44999</v>
      </c>
      <c r="G1575" s="28">
        <v>96.715879999999999</v>
      </c>
      <c r="H1575" s="15">
        <v>45183</v>
      </c>
      <c r="I1575">
        <v>87.05</v>
      </c>
      <c r="J1575">
        <v>10000</v>
      </c>
      <c r="K1575" s="28">
        <v>6.7165999999999997</v>
      </c>
    </row>
    <row r="1576" spans="1:12" ht="15" customHeight="1" x14ac:dyDescent="0.2">
      <c r="A1576" s="28" t="s">
        <v>8</v>
      </c>
      <c r="B1576" t="s">
        <v>30</v>
      </c>
      <c r="C1576" s="30" t="s">
        <v>54</v>
      </c>
      <c r="D1576" s="28">
        <f>YEAR(TableauFlitrage[[#This Row],[Date_d_adjudication]])</f>
        <v>2023</v>
      </c>
      <c r="E1576" s="28">
        <f t="shared" si="26"/>
        <v>3</v>
      </c>
      <c r="F1576" s="15">
        <v>44999</v>
      </c>
      <c r="G1576" s="28">
        <v>93.001599999999996</v>
      </c>
      <c r="H1576" s="15">
        <v>46041</v>
      </c>
      <c r="I1576">
        <v>32.5</v>
      </c>
      <c r="J1576">
        <v>10000</v>
      </c>
      <c r="K1576" s="28">
        <v>5.75</v>
      </c>
      <c r="L1576">
        <v>8.44</v>
      </c>
    </row>
    <row r="1577" spans="1:12" ht="15" customHeight="1" x14ac:dyDescent="0.2">
      <c r="A1577" s="28" t="s">
        <v>9</v>
      </c>
      <c r="B1577" s="2" t="s">
        <v>29</v>
      </c>
      <c r="C1577" s="30">
        <v>0.5</v>
      </c>
      <c r="D1577" s="28">
        <f>YEAR(TableauFlitrage[[#This Row],[Date_d_adjudication]])</f>
        <v>2023</v>
      </c>
      <c r="E1577" s="28">
        <f t="shared" si="26"/>
        <v>3</v>
      </c>
      <c r="F1577" s="15">
        <v>45000</v>
      </c>
      <c r="G1577" s="28">
        <v>96.984802999999999</v>
      </c>
      <c r="H1577" s="15">
        <v>45184</v>
      </c>
      <c r="I1577">
        <v>43.88</v>
      </c>
      <c r="J1577">
        <v>10000</v>
      </c>
      <c r="K1577" s="28">
        <v>6.1494999999999997</v>
      </c>
    </row>
    <row r="1578" spans="1:12" ht="15" customHeight="1" x14ac:dyDescent="0.2">
      <c r="A1578" s="28" t="s">
        <v>11</v>
      </c>
      <c r="B1578" s="2" t="s">
        <v>29</v>
      </c>
      <c r="C1578" s="30">
        <v>0.5</v>
      </c>
      <c r="D1578" s="28">
        <f>YEAR(TableauFlitrage[[#This Row],[Date_d_adjudication]])</f>
        <v>2023</v>
      </c>
      <c r="E1578" s="28">
        <f t="shared" si="26"/>
        <v>3</v>
      </c>
      <c r="F1578" s="15">
        <v>45000</v>
      </c>
      <c r="G1578" s="28">
        <v>96.607690000000005</v>
      </c>
      <c r="H1578" s="15">
        <v>45184</v>
      </c>
      <c r="I1578">
        <v>89.258300000000006</v>
      </c>
      <c r="J1578">
        <v>12000</v>
      </c>
      <c r="K1578" s="28">
        <v>6.9457000000000004</v>
      </c>
    </row>
    <row r="1579" spans="1:12" ht="15" customHeight="1" x14ac:dyDescent="0.2">
      <c r="A1579" s="28" t="s">
        <v>9</v>
      </c>
      <c r="B1579" t="s">
        <v>30</v>
      </c>
      <c r="C1579" s="30" t="s">
        <v>58</v>
      </c>
      <c r="D1579" s="28">
        <f>YEAR(TableauFlitrage[[#This Row],[Date_d_adjudication]])</f>
        <v>2023</v>
      </c>
      <c r="E1579" s="28">
        <f t="shared" si="26"/>
        <v>3</v>
      </c>
      <c r="F1579" s="15">
        <v>45000</v>
      </c>
      <c r="G1579" s="28">
        <v>88.978399999999993</v>
      </c>
      <c r="H1579" s="15">
        <v>47559</v>
      </c>
      <c r="I1579">
        <v>35.7348</v>
      </c>
      <c r="J1579">
        <v>25000</v>
      </c>
      <c r="K1579" s="28">
        <v>7.25</v>
      </c>
      <c r="L1579">
        <v>9.44</v>
      </c>
    </row>
    <row r="1580" spans="1:12" ht="15" customHeight="1" x14ac:dyDescent="0.2">
      <c r="A1580" s="28" t="s">
        <v>19</v>
      </c>
      <c r="B1580" s="2" t="s">
        <v>29</v>
      </c>
      <c r="C1580" s="30">
        <v>1</v>
      </c>
      <c r="D1580" s="28">
        <f>YEAR(TableauFlitrage[[#This Row],[Date_d_adjudication]])</f>
        <v>2023</v>
      </c>
      <c r="E1580" s="28">
        <f t="shared" si="26"/>
        <v>3</v>
      </c>
      <c r="F1580" s="15">
        <v>45005</v>
      </c>
      <c r="G1580" s="28">
        <v>93.023332999999994</v>
      </c>
      <c r="H1580" s="15">
        <v>45371</v>
      </c>
      <c r="I1580">
        <v>5.0999999999999996</v>
      </c>
      <c r="J1580">
        <v>10000</v>
      </c>
      <c r="K1580" s="28">
        <v>7.4175000000000004</v>
      </c>
    </row>
    <row r="1581" spans="1:12" ht="15" customHeight="1" x14ac:dyDescent="0.2">
      <c r="A1581" s="28" t="s">
        <v>8</v>
      </c>
      <c r="B1581" s="2" t="s">
        <v>29</v>
      </c>
      <c r="C1581" s="30">
        <v>0.25</v>
      </c>
      <c r="D1581" s="28">
        <f>YEAR(TableauFlitrage[[#This Row],[Date_d_adjudication]])</f>
        <v>2023</v>
      </c>
      <c r="E1581" s="28">
        <f t="shared" si="26"/>
        <v>3</v>
      </c>
      <c r="F1581" s="15">
        <v>45006</v>
      </c>
      <c r="G1581" s="28">
        <v>98.499510999999998</v>
      </c>
      <c r="H1581" s="15">
        <v>45099</v>
      </c>
      <c r="I1581">
        <v>172.84</v>
      </c>
      <c r="J1581">
        <v>10000</v>
      </c>
      <c r="K1581" s="28">
        <v>6.0263999999999998</v>
      </c>
    </row>
    <row r="1582" spans="1:12" ht="15" customHeight="1" x14ac:dyDescent="0.2">
      <c r="A1582" s="28" t="s">
        <v>8</v>
      </c>
      <c r="B1582" s="2" t="s">
        <v>29</v>
      </c>
      <c r="C1582" s="30">
        <v>0.5</v>
      </c>
      <c r="D1582" s="28">
        <f>YEAR(TableauFlitrage[[#This Row],[Date_d_adjudication]])</f>
        <v>2023</v>
      </c>
      <c r="E1582" s="28">
        <f t="shared" si="26"/>
        <v>3</v>
      </c>
      <c r="F1582" s="15">
        <v>45006</v>
      </c>
      <c r="G1582" s="28">
        <v>96.769643000000002</v>
      </c>
      <c r="H1582" s="15">
        <v>45190</v>
      </c>
      <c r="I1582">
        <v>88.89</v>
      </c>
      <c r="J1582">
        <v>10000</v>
      </c>
      <c r="K1582" s="28">
        <v>6.6029999999999998</v>
      </c>
    </row>
    <row r="1583" spans="1:12" ht="15" customHeight="1" x14ac:dyDescent="0.2">
      <c r="A1583" s="28" t="s">
        <v>8</v>
      </c>
      <c r="B1583" s="2" t="s">
        <v>29</v>
      </c>
      <c r="C1583" s="30">
        <v>1</v>
      </c>
      <c r="D1583" s="28">
        <f>YEAR(TableauFlitrage[[#This Row],[Date_d_adjudication]])</f>
        <v>2023</v>
      </c>
      <c r="E1583" s="28">
        <f t="shared" si="26"/>
        <v>3</v>
      </c>
      <c r="F1583" s="15">
        <v>45006</v>
      </c>
      <c r="G1583" s="28">
        <v>93.269041000000001</v>
      </c>
      <c r="H1583" s="15">
        <v>45372</v>
      </c>
      <c r="I1583">
        <v>27.753299999999999</v>
      </c>
      <c r="J1583">
        <v>15000</v>
      </c>
      <c r="K1583" s="28">
        <v>7.1374000000000004</v>
      </c>
    </row>
    <row r="1584" spans="1:12" ht="15" customHeight="1" x14ac:dyDescent="0.2">
      <c r="A1584" s="28" t="s">
        <v>8</v>
      </c>
      <c r="B1584" t="s">
        <v>30</v>
      </c>
      <c r="C1584" s="30" t="s">
        <v>53</v>
      </c>
      <c r="D1584" s="28">
        <f>YEAR(TableauFlitrage[[#This Row],[Date_d_adjudication]])</f>
        <v>2023</v>
      </c>
      <c r="E1584" s="28">
        <f t="shared" si="26"/>
        <v>3</v>
      </c>
      <c r="F1584" s="15">
        <v>45006</v>
      </c>
      <c r="G1584" s="28">
        <v>90.899299999999997</v>
      </c>
      <c r="H1584" s="15">
        <v>45739</v>
      </c>
      <c r="I1584">
        <v>25.02</v>
      </c>
      <c r="J1584">
        <v>20000</v>
      </c>
      <c r="K1584" s="28">
        <v>5.5</v>
      </c>
      <c r="L1584">
        <v>10.67</v>
      </c>
    </row>
    <row r="1585" spans="1:12" ht="15" customHeight="1" x14ac:dyDescent="0.2">
      <c r="A1585" s="28" t="s">
        <v>9</v>
      </c>
      <c r="B1585" s="2" t="s">
        <v>29</v>
      </c>
      <c r="C1585" s="30">
        <v>0.25</v>
      </c>
      <c r="D1585" s="28">
        <f>YEAR(TableauFlitrage[[#This Row],[Date_d_adjudication]])</f>
        <v>2023</v>
      </c>
      <c r="E1585" s="28">
        <f t="shared" si="26"/>
        <v>3</v>
      </c>
      <c r="F1585" s="15">
        <v>45007</v>
      </c>
      <c r="G1585" s="28">
        <v>98.597926000000001</v>
      </c>
      <c r="H1585" s="15">
        <v>45100</v>
      </c>
      <c r="I1585">
        <v>157.33330000000001</v>
      </c>
      <c r="J1585">
        <v>7500</v>
      </c>
      <c r="K1585" s="28">
        <v>5.6254999999999997</v>
      </c>
    </row>
    <row r="1586" spans="1:12" ht="15" customHeight="1" x14ac:dyDescent="0.2">
      <c r="A1586" s="28" t="s">
        <v>11</v>
      </c>
      <c r="B1586" s="2" t="s">
        <v>29</v>
      </c>
      <c r="C1586" s="30">
        <v>0.5</v>
      </c>
      <c r="D1586" s="28">
        <f>YEAR(TableauFlitrage[[#This Row],[Date_d_adjudication]])</f>
        <v>2023</v>
      </c>
      <c r="E1586" s="28">
        <f t="shared" si="26"/>
        <v>3</v>
      </c>
      <c r="F1586" s="15">
        <v>45007</v>
      </c>
      <c r="G1586" s="28">
        <v>96.713888999999995</v>
      </c>
      <c r="H1586" s="15">
        <v>45191</v>
      </c>
      <c r="I1586">
        <v>75.3583</v>
      </c>
      <c r="J1586">
        <v>12000</v>
      </c>
      <c r="K1586" s="28">
        <v>6.7209000000000003</v>
      </c>
    </row>
    <row r="1587" spans="1:12" ht="15" customHeight="1" x14ac:dyDescent="0.2">
      <c r="A1587" s="28" t="s">
        <v>7</v>
      </c>
      <c r="B1587" s="2" t="s">
        <v>29</v>
      </c>
      <c r="C1587" s="30">
        <v>1</v>
      </c>
      <c r="D1587" s="28">
        <f>YEAR(TableauFlitrage[[#This Row],[Date_d_adjudication]])</f>
        <v>2023</v>
      </c>
      <c r="E1587" s="28">
        <f t="shared" si="26"/>
        <v>3</v>
      </c>
      <c r="F1587" s="15">
        <v>45012</v>
      </c>
      <c r="G1587" s="28">
        <v>95.5535</v>
      </c>
      <c r="H1587" s="15">
        <v>45378</v>
      </c>
      <c r="I1587">
        <v>70.900000000000006</v>
      </c>
      <c r="J1587">
        <v>10000</v>
      </c>
      <c r="K1587" s="28">
        <v>4.6022999999999996</v>
      </c>
    </row>
    <row r="1588" spans="1:12" ht="15" customHeight="1" x14ac:dyDescent="0.2">
      <c r="A1588" s="28" t="s">
        <v>7</v>
      </c>
      <c r="B1588" t="s">
        <v>30</v>
      </c>
      <c r="C1588" s="30" t="s">
        <v>54</v>
      </c>
      <c r="D1588" s="28">
        <f>YEAR(TableauFlitrage[[#This Row],[Date_d_adjudication]])</f>
        <v>2023</v>
      </c>
      <c r="E1588" s="28">
        <f t="shared" si="26"/>
        <v>3</v>
      </c>
      <c r="F1588" s="15">
        <v>45012</v>
      </c>
      <c r="G1588" s="28">
        <v>97</v>
      </c>
      <c r="H1588" s="15">
        <v>46110</v>
      </c>
      <c r="I1588">
        <v>32.3367</v>
      </c>
      <c r="J1588">
        <v>30000</v>
      </c>
      <c r="K1588" s="28">
        <v>4.25</v>
      </c>
      <c r="L1588">
        <v>5.35</v>
      </c>
    </row>
    <row r="1589" spans="1:12" ht="15" customHeight="1" x14ac:dyDescent="0.2">
      <c r="A1589" s="28" t="s">
        <v>8</v>
      </c>
      <c r="B1589" s="2" t="s">
        <v>29</v>
      </c>
      <c r="C1589" s="30">
        <v>0.25</v>
      </c>
      <c r="D1589" s="28">
        <f>YEAR(TableauFlitrage[[#This Row],[Date_d_adjudication]])</f>
        <v>2023</v>
      </c>
      <c r="E1589" s="28">
        <f t="shared" si="26"/>
        <v>3</v>
      </c>
      <c r="F1589" s="15">
        <v>45013</v>
      </c>
      <c r="G1589" s="28">
        <v>98.551738</v>
      </c>
      <c r="H1589" s="15">
        <v>45099</v>
      </c>
      <c r="I1589">
        <v>60.35</v>
      </c>
      <c r="J1589">
        <v>10000</v>
      </c>
      <c r="K1589" s="28">
        <v>6.298</v>
      </c>
    </row>
    <row r="1590" spans="1:12" ht="15" customHeight="1" x14ac:dyDescent="0.2">
      <c r="A1590" s="28" t="s">
        <v>8</v>
      </c>
      <c r="B1590" s="2" t="s">
        <v>29</v>
      </c>
      <c r="C1590" s="30">
        <v>0.5</v>
      </c>
      <c r="D1590" s="28">
        <f>YEAR(TableauFlitrage[[#This Row],[Date_d_adjudication]])</f>
        <v>2023</v>
      </c>
      <c r="E1590" s="28">
        <f t="shared" si="26"/>
        <v>3</v>
      </c>
      <c r="F1590" s="15">
        <v>45013</v>
      </c>
      <c r="G1590" s="28">
        <v>96.813838000000004</v>
      </c>
      <c r="H1590" s="15">
        <v>45190</v>
      </c>
      <c r="I1590">
        <v>47.671399999999998</v>
      </c>
      <c r="J1590">
        <v>7000</v>
      </c>
      <c r="K1590" s="28">
        <v>6.7701000000000002</v>
      </c>
    </row>
    <row r="1591" spans="1:12" ht="15" customHeight="1" x14ac:dyDescent="0.2">
      <c r="A1591" s="28" t="s">
        <v>10</v>
      </c>
      <c r="B1591" s="2" t="s">
        <v>29</v>
      </c>
      <c r="C1591" s="30">
        <v>1</v>
      </c>
      <c r="D1591" s="28">
        <f>YEAR(TableauFlitrage[[#This Row],[Date_d_adjudication]])</f>
        <v>2023</v>
      </c>
      <c r="E1591" s="28">
        <f t="shared" si="26"/>
        <v>3</v>
      </c>
      <c r="F1591" s="15">
        <v>45013</v>
      </c>
      <c r="G1591" s="28">
        <v>93.427778000000004</v>
      </c>
      <c r="H1591" s="15">
        <v>45379</v>
      </c>
      <c r="I1591">
        <v>87.746700000000004</v>
      </c>
      <c r="J1591">
        <v>15000</v>
      </c>
      <c r="K1591" s="28">
        <v>6.9572000000000003</v>
      </c>
    </row>
    <row r="1592" spans="1:12" ht="15" customHeight="1" x14ac:dyDescent="0.2">
      <c r="A1592" s="28" t="s">
        <v>8</v>
      </c>
      <c r="B1592" t="s">
        <v>30</v>
      </c>
      <c r="C1592" s="30" t="s">
        <v>53</v>
      </c>
      <c r="D1592" s="28">
        <f>YEAR(TableauFlitrage[[#This Row],[Date_d_adjudication]])</f>
        <v>2023</v>
      </c>
      <c r="E1592" s="28">
        <f t="shared" si="26"/>
        <v>3</v>
      </c>
      <c r="F1592" s="15">
        <v>45013</v>
      </c>
      <c r="G1592" s="28">
        <v>92.101900000000001</v>
      </c>
      <c r="H1592" s="15">
        <v>45739</v>
      </c>
      <c r="I1592">
        <v>119.58669999999999</v>
      </c>
      <c r="J1592">
        <v>15000</v>
      </c>
      <c r="K1592" s="28">
        <v>5.5</v>
      </c>
      <c r="L1592">
        <v>9.9499999999999993</v>
      </c>
    </row>
    <row r="1593" spans="1:12" ht="15" customHeight="1" x14ac:dyDescent="0.2">
      <c r="A1593" s="28" t="s">
        <v>9</v>
      </c>
      <c r="B1593" s="2" t="s">
        <v>29</v>
      </c>
      <c r="C1593" s="30">
        <v>0.5</v>
      </c>
      <c r="D1593" s="28">
        <f>YEAR(TableauFlitrage[[#This Row],[Date_d_adjudication]])</f>
        <v>2023</v>
      </c>
      <c r="E1593" s="28">
        <f t="shared" si="26"/>
        <v>3</v>
      </c>
      <c r="F1593" s="15">
        <v>45014</v>
      </c>
      <c r="G1593" s="28">
        <v>96.983563000000004</v>
      </c>
      <c r="H1593" s="15">
        <v>45198</v>
      </c>
      <c r="I1593">
        <v>68.9739</v>
      </c>
      <c r="J1593">
        <v>11500</v>
      </c>
      <c r="K1593" s="28">
        <v>6.1521999999999997</v>
      </c>
    </row>
    <row r="1594" spans="1:12" ht="15" customHeight="1" x14ac:dyDescent="0.2">
      <c r="A1594" s="28" t="s">
        <v>7</v>
      </c>
      <c r="B1594" s="2" t="s">
        <v>29</v>
      </c>
      <c r="C1594" s="30">
        <v>0.5</v>
      </c>
      <c r="D1594" s="28">
        <f>YEAR(TableauFlitrage[[#This Row],[Date_d_adjudication]])</f>
        <v>2023</v>
      </c>
      <c r="E1594" s="28">
        <f t="shared" si="26"/>
        <v>4</v>
      </c>
      <c r="F1594" s="15">
        <v>45020</v>
      </c>
      <c r="G1594" s="28">
        <v>97.741370000000003</v>
      </c>
      <c r="H1594" s="15">
        <v>45204</v>
      </c>
      <c r="I1594">
        <v>84.04</v>
      </c>
      <c r="J1594">
        <v>25000</v>
      </c>
      <c r="K1594" s="28">
        <v>4.5709</v>
      </c>
    </row>
    <row r="1595" spans="1:12" ht="15" customHeight="1" x14ac:dyDescent="0.2">
      <c r="A1595" s="28" t="s">
        <v>8</v>
      </c>
      <c r="B1595" s="2" t="s">
        <v>29</v>
      </c>
      <c r="C1595" s="30">
        <v>1</v>
      </c>
      <c r="D1595" s="28">
        <f>YEAR(TableauFlitrage[[#This Row],[Date_d_adjudication]])</f>
        <v>2023</v>
      </c>
      <c r="E1595" s="28">
        <f t="shared" si="26"/>
        <v>4</v>
      </c>
      <c r="F1595" s="15">
        <v>45020</v>
      </c>
      <c r="G1595" s="28">
        <v>93.257732000000004</v>
      </c>
      <c r="H1595" s="15">
        <v>45386</v>
      </c>
      <c r="I1595">
        <v>45.25</v>
      </c>
      <c r="J1595">
        <v>10000</v>
      </c>
      <c r="K1595" s="28">
        <v>7.1502999999999997</v>
      </c>
    </row>
    <row r="1596" spans="1:12" ht="15" customHeight="1" x14ac:dyDescent="0.2">
      <c r="A1596" s="28" t="s">
        <v>8</v>
      </c>
      <c r="B1596" s="2" t="s">
        <v>29</v>
      </c>
      <c r="C1596" s="30">
        <v>0.5</v>
      </c>
      <c r="D1596" s="28">
        <f>YEAR(TableauFlitrage[[#This Row],[Date_d_adjudication]])</f>
        <v>2023</v>
      </c>
      <c r="E1596" s="28">
        <f t="shared" si="26"/>
        <v>4</v>
      </c>
      <c r="F1596" s="15">
        <v>45020</v>
      </c>
      <c r="G1596" s="28">
        <v>96.647352999999995</v>
      </c>
      <c r="H1596" s="15">
        <v>45204</v>
      </c>
      <c r="I1596">
        <v>101.94</v>
      </c>
      <c r="J1596">
        <v>10000</v>
      </c>
      <c r="K1596" s="28">
        <v>6.8616999999999999</v>
      </c>
    </row>
    <row r="1597" spans="1:12" ht="15" customHeight="1" x14ac:dyDescent="0.2">
      <c r="A1597" s="28" t="s">
        <v>9</v>
      </c>
      <c r="B1597" s="2" t="s">
        <v>29</v>
      </c>
      <c r="C1597" s="30">
        <v>0.5</v>
      </c>
      <c r="D1597" s="28">
        <f>YEAR(TableauFlitrage[[#This Row],[Date_d_adjudication]])</f>
        <v>2023</v>
      </c>
      <c r="E1597" s="28">
        <f t="shared" si="26"/>
        <v>4</v>
      </c>
      <c r="F1597" s="15">
        <v>45021</v>
      </c>
      <c r="G1597" s="28">
        <v>96.909479000000005</v>
      </c>
      <c r="H1597" s="15">
        <v>45205</v>
      </c>
      <c r="I1597">
        <v>90.27</v>
      </c>
      <c r="J1597">
        <v>10000</v>
      </c>
      <c r="K1597" s="28">
        <v>6.3080999999999996</v>
      </c>
    </row>
    <row r="1598" spans="1:12" ht="15" customHeight="1" x14ac:dyDescent="0.2">
      <c r="A1598" s="28" t="s">
        <v>9</v>
      </c>
      <c r="B1598" t="s">
        <v>30</v>
      </c>
      <c r="C1598" s="30" t="s">
        <v>53</v>
      </c>
      <c r="D1598" s="28">
        <f>YEAR(TableauFlitrage[[#This Row],[Date_d_adjudication]])</f>
        <v>2023</v>
      </c>
      <c r="E1598" s="28">
        <f t="shared" si="26"/>
        <v>4</v>
      </c>
      <c r="F1598" s="15">
        <v>45021</v>
      </c>
      <c r="G1598" s="28">
        <v>93</v>
      </c>
      <c r="H1598" s="15">
        <v>45754</v>
      </c>
      <c r="I1598">
        <v>100</v>
      </c>
      <c r="J1598">
        <v>30000</v>
      </c>
      <c r="K1598" s="28">
        <v>5</v>
      </c>
      <c r="L1598">
        <v>8.9</v>
      </c>
    </row>
    <row r="1599" spans="1:12" ht="15" customHeight="1" x14ac:dyDescent="0.2">
      <c r="A1599" s="28" t="s">
        <v>9</v>
      </c>
      <c r="B1599" t="s">
        <v>30</v>
      </c>
      <c r="C1599" s="30" t="s">
        <v>54</v>
      </c>
      <c r="D1599" s="28">
        <f>YEAR(TableauFlitrage[[#This Row],[Date_d_adjudication]])</f>
        <v>2023</v>
      </c>
      <c r="E1599" s="28">
        <f t="shared" ref="E1599:E1657" si="27">MONTH(F1599)</f>
        <v>4</v>
      </c>
      <c r="F1599" s="15">
        <v>45021</v>
      </c>
      <c r="G1599" s="28">
        <v>91.5</v>
      </c>
      <c r="H1599" s="15">
        <v>46119</v>
      </c>
      <c r="I1599">
        <v>100</v>
      </c>
      <c r="J1599">
        <v>66000</v>
      </c>
      <c r="K1599" s="28">
        <v>5.75</v>
      </c>
      <c r="L1599">
        <v>9.0500000000000007</v>
      </c>
    </row>
    <row r="1600" spans="1:12" ht="15" customHeight="1" x14ac:dyDescent="0.2">
      <c r="A1600" s="28" t="s">
        <v>9</v>
      </c>
      <c r="B1600" t="s">
        <v>30</v>
      </c>
      <c r="C1600" s="30" t="s">
        <v>56</v>
      </c>
      <c r="D1600" s="28">
        <f>YEAR(TableauFlitrage[[#This Row],[Date_d_adjudication]])</f>
        <v>2023</v>
      </c>
      <c r="E1600" s="28">
        <f t="shared" si="27"/>
        <v>4</v>
      </c>
      <c r="F1600" s="15">
        <v>45021</v>
      </c>
      <c r="G1600" s="28">
        <v>91</v>
      </c>
      <c r="H1600" s="15">
        <v>46484</v>
      </c>
      <c r="I1600">
        <v>99.754499999999993</v>
      </c>
      <c r="J1600">
        <v>33000</v>
      </c>
      <c r="K1600" s="28">
        <v>6.5</v>
      </c>
      <c r="L1600">
        <v>9.24</v>
      </c>
    </row>
    <row r="1601" spans="1:12" ht="15" customHeight="1" x14ac:dyDescent="0.2">
      <c r="A1601" s="28" t="s">
        <v>9</v>
      </c>
      <c r="B1601" t="s">
        <v>30</v>
      </c>
      <c r="C1601" s="30" t="s">
        <v>55</v>
      </c>
      <c r="D1601" s="28">
        <f>YEAR(TableauFlitrage[[#This Row],[Date_d_adjudication]])</f>
        <v>2023</v>
      </c>
      <c r="E1601" s="28">
        <f t="shared" si="27"/>
        <v>4</v>
      </c>
      <c r="F1601" s="15">
        <v>45021</v>
      </c>
      <c r="G1601" s="28">
        <v>91</v>
      </c>
      <c r="H1601" s="15">
        <v>46850</v>
      </c>
      <c r="I1601">
        <v>100</v>
      </c>
      <c r="J1601">
        <v>9000</v>
      </c>
      <c r="K1601" s="28">
        <v>6.75</v>
      </c>
      <c r="L1601">
        <v>9.0299999999999994</v>
      </c>
    </row>
    <row r="1602" spans="1:12" ht="15" customHeight="1" x14ac:dyDescent="0.2">
      <c r="A1602" s="28" t="s">
        <v>9</v>
      </c>
      <c r="B1602" t="s">
        <v>30</v>
      </c>
      <c r="C1602" s="30" t="s">
        <v>58</v>
      </c>
      <c r="D1602" s="28">
        <f>YEAR(TableauFlitrage[[#This Row],[Date_d_adjudication]])</f>
        <v>2023</v>
      </c>
      <c r="E1602" s="28">
        <f t="shared" si="27"/>
        <v>4</v>
      </c>
      <c r="F1602" s="15">
        <v>45021</v>
      </c>
      <c r="G1602" s="28">
        <v>91</v>
      </c>
      <c r="H1602" s="15">
        <v>47580</v>
      </c>
      <c r="I1602">
        <v>99.287199999999999</v>
      </c>
      <c r="J1602">
        <v>12000</v>
      </c>
      <c r="K1602" s="28">
        <v>7.5</v>
      </c>
      <c r="L1602">
        <v>9.2799999999999994</v>
      </c>
    </row>
    <row r="1603" spans="1:12" ht="15" customHeight="1" x14ac:dyDescent="0.2">
      <c r="A1603" s="28" t="s">
        <v>14</v>
      </c>
      <c r="B1603" t="s">
        <v>30</v>
      </c>
      <c r="C1603" s="30" t="s">
        <v>54</v>
      </c>
      <c r="D1603" s="28">
        <f>YEAR(TableauFlitrage[[#This Row],[Date_d_adjudication]])</f>
        <v>2023</v>
      </c>
      <c r="E1603" s="28">
        <f t="shared" si="27"/>
        <v>4</v>
      </c>
      <c r="F1603" s="15">
        <v>45026</v>
      </c>
      <c r="G1603" s="28">
        <v>88.419899999999998</v>
      </c>
      <c r="H1603" s="15">
        <v>46054</v>
      </c>
      <c r="I1603">
        <v>20.1875</v>
      </c>
      <c r="J1603">
        <v>8000</v>
      </c>
      <c r="K1603" s="28">
        <v>6.5</v>
      </c>
      <c r="L1603">
        <v>11.15</v>
      </c>
    </row>
    <row r="1604" spans="1:12" ht="15" customHeight="1" x14ac:dyDescent="0.2">
      <c r="A1604" s="28" t="s">
        <v>8</v>
      </c>
      <c r="B1604" s="2" t="s">
        <v>29</v>
      </c>
      <c r="C1604" s="30">
        <v>0.25</v>
      </c>
      <c r="D1604" s="28">
        <f>YEAR(TableauFlitrage[[#This Row],[Date_d_adjudication]])</f>
        <v>2023</v>
      </c>
      <c r="E1604" s="28">
        <f t="shared" si="27"/>
        <v>4</v>
      </c>
      <c r="F1604" s="15">
        <v>45027</v>
      </c>
      <c r="G1604" s="28">
        <v>98.405455000000003</v>
      </c>
      <c r="H1604" s="15">
        <v>45120</v>
      </c>
      <c r="I1604">
        <v>59.6417</v>
      </c>
      <c r="J1604">
        <v>12000</v>
      </c>
      <c r="K1604" s="28">
        <v>6.4103000000000003</v>
      </c>
    </row>
    <row r="1605" spans="1:12" ht="15" customHeight="1" x14ac:dyDescent="0.2">
      <c r="A1605" s="28" t="s">
        <v>8</v>
      </c>
      <c r="B1605" s="2" t="s">
        <v>29</v>
      </c>
      <c r="C1605" s="30">
        <v>1</v>
      </c>
      <c r="D1605" s="28">
        <f>YEAR(TableauFlitrage[[#This Row],[Date_d_adjudication]])</f>
        <v>2023</v>
      </c>
      <c r="E1605" s="28">
        <f t="shared" si="27"/>
        <v>4</v>
      </c>
      <c r="F1605" s="15">
        <v>45027</v>
      </c>
      <c r="G1605" s="28">
        <v>93.902837000000005</v>
      </c>
      <c r="H1605" s="15">
        <v>45386</v>
      </c>
      <c r="I1605">
        <v>131.32</v>
      </c>
      <c r="J1605">
        <v>5000</v>
      </c>
      <c r="K1605" s="28">
        <v>6.5476000000000001</v>
      </c>
    </row>
    <row r="1606" spans="1:12" ht="15" customHeight="1" x14ac:dyDescent="0.2">
      <c r="A1606" s="28" t="s">
        <v>10</v>
      </c>
      <c r="B1606" s="2" t="s">
        <v>29</v>
      </c>
      <c r="C1606" s="30">
        <v>1</v>
      </c>
      <c r="D1606" s="28">
        <f>YEAR(TableauFlitrage[[#This Row],[Date_d_adjudication]])</f>
        <v>2023</v>
      </c>
      <c r="E1606" s="28">
        <f t="shared" si="27"/>
        <v>4</v>
      </c>
      <c r="F1606" s="15">
        <v>45027</v>
      </c>
      <c r="G1606" s="28">
        <v>93.427778000000004</v>
      </c>
      <c r="H1606" s="15">
        <v>45393</v>
      </c>
      <c r="I1606">
        <v>37.89</v>
      </c>
      <c r="J1606">
        <v>20000</v>
      </c>
      <c r="K1606" s="28">
        <v>6.9572000000000003</v>
      </c>
    </row>
    <row r="1607" spans="1:12" ht="15" customHeight="1" x14ac:dyDescent="0.2">
      <c r="A1607" s="28" t="s">
        <v>9</v>
      </c>
      <c r="B1607" s="2" t="s">
        <v>29</v>
      </c>
      <c r="C1607" s="30">
        <v>0.25</v>
      </c>
      <c r="D1607" s="28">
        <f>YEAR(TableauFlitrage[[#This Row],[Date_d_adjudication]])</f>
        <v>2023</v>
      </c>
      <c r="E1607" s="28">
        <f t="shared" si="27"/>
        <v>4</v>
      </c>
      <c r="F1607" s="15">
        <v>45028</v>
      </c>
      <c r="G1607" s="28">
        <v>98.565258999999998</v>
      </c>
      <c r="H1607" s="15">
        <v>45121</v>
      </c>
      <c r="I1607">
        <v>117.29</v>
      </c>
      <c r="J1607">
        <v>10000</v>
      </c>
      <c r="K1607" s="28">
        <v>5.7584999999999997</v>
      </c>
    </row>
    <row r="1608" spans="1:12" ht="15" customHeight="1" x14ac:dyDescent="0.2">
      <c r="A1608" s="28" t="s">
        <v>11</v>
      </c>
      <c r="B1608" s="2" t="s">
        <v>29</v>
      </c>
      <c r="C1608" s="30">
        <v>0.5</v>
      </c>
      <c r="D1608" s="28">
        <f>YEAR(TableauFlitrage[[#This Row],[Date_d_adjudication]])</f>
        <v>2023</v>
      </c>
      <c r="E1608" s="28">
        <f t="shared" si="27"/>
        <v>4</v>
      </c>
      <c r="F1608" s="15">
        <v>45028</v>
      </c>
      <c r="G1608" s="28">
        <v>96.725138000000001</v>
      </c>
      <c r="H1608" s="15">
        <v>45212</v>
      </c>
      <c r="I1608">
        <v>106.12</v>
      </c>
      <c r="J1608">
        <v>5000</v>
      </c>
      <c r="K1608" s="28">
        <v>6.6970999999999998</v>
      </c>
    </row>
    <row r="1609" spans="1:12" ht="15" customHeight="1" x14ac:dyDescent="0.2">
      <c r="A1609" s="28" t="s">
        <v>7</v>
      </c>
      <c r="B1609" s="2" t="s">
        <v>29</v>
      </c>
      <c r="C1609" s="30">
        <v>0.5</v>
      </c>
      <c r="D1609" s="28">
        <f>YEAR(TableauFlitrage[[#This Row],[Date_d_adjudication]])</f>
        <v>2023</v>
      </c>
      <c r="E1609" s="28">
        <f t="shared" si="27"/>
        <v>4</v>
      </c>
      <c r="F1609" s="15">
        <v>45033</v>
      </c>
      <c r="G1609" s="28">
        <v>97.724999999999994</v>
      </c>
      <c r="H1609" s="15">
        <v>45217</v>
      </c>
      <c r="I1609">
        <v>46.666699999999999</v>
      </c>
      <c r="J1609">
        <v>15000</v>
      </c>
      <c r="K1609" s="28">
        <v>4.6048</v>
      </c>
    </row>
    <row r="1610" spans="1:12" ht="15" customHeight="1" x14ac:dyDescent="0.2">
      <c r="A1610" s="28" t="s">
        <v>8</v>
      </c>
      <c r="B1610" s="2" t="s">
        <v>29</v>
      </c>
      <c r="C1610" s="30">
        <v>0.5</v>
      </c>
      <c r="D1610" s="28">
        <f>YEAR(TableauFlitrage[[#This Row],[Date_d_adjudication]])</f>
        <v>2023</v>
      </c>
      <c r="E1610" s="28">
        <f t="shared" si="27"/>
        <v>4</v>
      </c>
      <c r="F1610" s="15">
        <v>45034</v>
      </c>
      <c r="G1610" s="28">
        <v>96.813868999999997</v>
      </c>
      <c r="H1610" s="15">
        <v>45218</v>
      </c>
      <c r="I1610">
        <v>23.593299999999999</v>
      </c>
      <c r="J1610">
        <v>15000</v>
      </c>
      <c r="K1610" s="28">
        <v>6.5095999999999998</v>
      </c>
    </row>
    <row r="1611" spans="1:12" ht="15" customHeight="1" x14ac:dyDescent="0.2">
      <c r="A1611" s="28" t="s">
        <v>8</v>
      </c>
      <c r="B1611" t="s">
        <v>30</v>
      </c>
      <c r="C1611" s="30" t="s">
        <v>56</v>
      </c>
      <c r="D1611" s="28">
        <f>YEAR(TableauFlitrage[[#This Row],[Date_d_adjudication]])</f>
        <v>2023</v>
      </c>
      <c r="E1611" s="28">
        <f t="shared" si="27"/>
        <v>4</v>
      </c>
      <c r="F1611" s="15">
        <v>45034</v>
      </c>
      <c r="G1611" s="28">
        <v>91.705500000000001</v>
      </c>
      <c r="H1611" s="15">
        <v>46126</v>
      </c>
      <c r="I1611">
        <v>107.0933</v>
      </c>
      <c r="J1611">
        <v>15000</v>
      </c>
      <c r="K1611" s="28">
        <v>6.25</v>
      </c>
      <c r="L1611">
        <v>9.49</v>
      </c>
    </row>
    <row r="1612" spans="1:12" ht="15" customHeight="1" x14ac:dyDescent="0.2">
      <c r="A1612" s="28" t="s">
        <v>9</v>
      </c>
      <c r="B1612" s="2" t="s">
        <v>29</v>
      </c>
      <c r="C1612" s="30">
        <v>0.5</v>
      </c>
      <c r="D1612" s="28">
        <f>YEAR(TableauFlitrage[[#This Row],[Date_d_adjudication]])</f>
        <v>2023</v>
      </c>
      <c r="E1612" s="28">
        <f t="shared" si="27"/>
        <v>4</v>
      </c>
      <c r="F1612" s="15">
        <v>45035</v>
      </c>
      <c r="G1612" s="28">
        <v>96.853279000000001</v>
      </c>
      <c r="H1612" s="15">
        <v>45219</v>
      </c>
      <c r="I1612">
        <v>125.49</v>
      </c>
      <c r="J1612">
        <v>10000</v>
      </c>
      <c r="K1612" s="28">
        <v>6.4264999999999999</v>
      </c>
    </row>
    <row r="1613" spans="1:12" ht="15" customHeight="1" x14ac:dyDescent="0.2">
      <c r="A1613" s="28" t="s">
        <v>7</v>
      </c>
      <c r="B1613" s="2" t="s">
        <v>29</v>
      </c>
      <c r="C1613" s="30">
        <v>0.5</v>
      </c>
      <c r="D1613" s="28">
        <f>YEAR(TableauFlitrage[[#This Row],[Date_d_adjudication]])</f>
        <v>2023</v>
      </c>
      <c r="E1613" s="28">
        <f t="shared" si="27"/>
        <v>4</v>
      </c>
      <c r="F1613" s="15">
        <v>45040</v>
      </c>
      <c r="G1613" s="28">
        <v>97.724999999999994</v>
      </c>
      <c r="H1613" s="15">
        <v>45224</v>
      </c>
      <c r="I1613">
        <v>85</v>
      </c>
      <c r="J1613">
        <v>20000</v>
      </c>
      <c r="K1613" s="28">
        <v>4.6048</v>
      </c>
    </row>
    <row r="1614" spans="1:12" ht="15" customHeight="1" x14ac:dyDescent="0.2">
      <c r="A1614" s="28" t="s">
        <v>7</v>
      </c>
      <c r="B1614" t="s">
        <v>30</v>
      </c>
      <c r="C1614" s="30" t="s">
        <v>57</v>
      </c>
      <c r="D1614" s="28">
        <f>YEAR(TableauFlitrage[[#This Row],[Date_d_adjudication]])</f>
        <v>2023</v>
      </c>
      <c r="E1614" s="28">
        <f t="shared" si="27"/>
        <v>4</v>
      </c>
      <c r="F1614" s="15">
        <v>45040</v>
      </c>
      <c r="G1614" s="28">
        <v>97.209699999999998</v>
      </c>
      <c r="H1614" s="15">
        <v>47234</v>
      </c>
      <c r="I1614">
        <v>76.040000000000006</v>
      </c>
      <c r="J1614">
        <v>25000</v>
      </c>
      <c r="K1614" s="28">
        <v>6.25</v>
      </c>
      <c r="L1614">
        <v>6.83</v>
      </c>
    </row>
    <row r="1615" spans="1:12" ht="15" customHeight="1" x14ac:dyDescent="0.2">
      <c r="A1615" s="28" t="s">
        <v>8</v>
      </c>
      <c r="B1615" s="2" t="s">
        <v>29</v>
      </c>
      <c r="C1615" s="30">
        <v>0.25</v>
      </c>
      <c r="D1615" s="28">
        <f>YEAR(TableauFlitrage[[#This Row],[Date_d_adjudication]])</f>
        <v>2023</v>
      </c>
      <c r="E1615" s="28">
        <f t="shared" si="27"/>
        <v>4</v>
      </c>
      <c r="F1615" s="15">
        <v>45041</v>
      </c>
      <c r="G1615" s="28">
        <v>98.405657000000005</v>
      </c>
      <c r="H1615" s="15">
        <v>45134</v>
      </c>
      <c r="I1615">
        <v>71.42</v>
      </c>
      <c r="J1615">
        <v>15000</v>
      </c>
      <c r="K1615" s="28">
        <v>6.4095000000000004</v>
      </c>
    </row>
    <row r="1616" spans="1:12" ht="15" customHeight="1" x14ac:dyDescent="0.2">
      <c r="A1616" s="28" t="s">
        <v>8</v>
      </c>
      <c r="B1616" s="2" t="s">
        <v>29</v>
      </c>
      <c r="C1616" s="30">
        <v>0.5</v>
      </c>
      <c r="D1616" s="28">
        <f>YEAR(TableauFlitrage[[#This Row],[Date_d_adjudication]])</f>
        <v>2023</v>
      </c>
      <c r="E1616" s="28">
        <f t="shared" si="27"/>
        <v>4</v>
      </c>
      <c r="F1616" s="15">
        <v>45041</v>
      </c>
      <c r="G1616" s="28">
        <v>96.967618999999999</v>
      </c>
      <c r="H1616" s="15">
        <v>45225</v>
      </c>
      <c r="I1616">
        <v>69.69</v>
      </c>
      <c r="J1616">
        <v>10000</v>
      </c>
      <c r="K1616" s="28">
        <v>6.1856999999999998</v>
      </c>
    </row>
    <row r="1617" spans="1:12" ht="15" customHeight="1" x14ac:dyDescent="0.2">
      <c r="A1617" s="28" t="s">
        <v>8</v>
      </c>
      <c r="B1617" t="s">
        <v>30</v>
      </c>
      <c r="C1617" s="30" t="s">
        <v>56</v>
      </c>
      <c r="D1617" s="28">
        <f>YEAR(TableauFlitrage[[#This Row],[Date_d_adjudication]])</f>
        <v>2023</v>
      </c>
      <c r="E1617" s="28">
        <f t="shared" si="27"/>
        <v>4</v>
      </c>
      <c r="F1617" s="15">
        <v>45041</v>
      </c>
      <c r="G1617" s="28">
        <v>91.345699999999994</v>
      </c>
      <c r="H1617" s="15">
        <v>46126</v>
      </c>
      <c r="I1617">
        <v>35.113199999999999</v>
      </c>
      <c r="J1617">
        <v>5000</v>
      </c>
      <c r="K1617" s="28">
        <v>6.25</v>
      </c>
      <c r="L1617">
        <v>9.64</v>
      </c>
    </row>
    <row r="1618" spans="1:12" ht="15" customHeight="1" x14ac:dyDescent="0.2">
      <c r="A1618" s="28" t="s">
        <v>9</v>
      </c>
      <c r="B1618" s="2" t="s">
        <v>29</v>
      </c>
      <c r="C1618" s="30">
        <v>0.25</v>
      </c>
      <c r="D1618" s="28">
        <f>YEAR(TableauFlitrage[[#This Row],[Date_d_adjudication]])</f>
        <v>2023</v>
      </c>
      <c r="E1618" s="28">
        <f t="shared" si="27"/>
        <v>4</v>
      </c>
      <c r="F1618" s="15">
        <v>45042</v>
      </c>
      <c r="G1618" s="28">
        <v>98.553398999999999</v>
      </c>
      <c r="H1618" s="15">
        <v>45135</v>
      </c>
      <c r="I1618">
        <v>130.25</v>
      </c>
      <c r="J1618">
        <v>10000</v>
      </c>
      <c r="K1618" s="28">
        <v>5.8068</v>
      </c>
    </row>
    <row r="1619" spans="1:12" ht="15" customHeight="1" x14ac:dyDescent="0.2">
      <c r="A1619" s="28" t="s">
        <v>11</v>
      </c>
      <c r="B1619" s="2" t="s">
        <v>29</v>
      </c>
      <c r="C1619" s="30">
        <v>0.5</v>
      </c>
      <c r="D1619" s="28">
        <f>YEAR(TableauFlitrage[[#This Row],[Date_d_adjudication]])</f>
        <v>2023</v>
      </c>
      <c r="E1619" s="28">
        <f t="shared" si="27"/>
        <v>4</v>
      </c>
      <c r="F1619" s="15">
        <v>45042</v>
      </c>
      <c r="G1619" s="28">
        <v>96.638581000000002</v>
      </c>
      <c r="H1619" s="15">
        <v>45226</v>
      </c>
      <c r="I1619">
        <v>112.36669999999999</v>
      </c>
      <c r="J1619">
        <v>9000</v>
      </c>
      <c r="K1619" s="28">
        <v>6.8802000000000003</v>
      </c>
    </row>
    <row r="1620" spans="1:12" ht="15" customHeight="1" x14ac:dyDescent="0.2">
      <c r="A1620" s="28" t="s">
        <v>9</v>
      </c>
      <c r="B1620" t="s">
        <v>30</v>
      </c>
      <c r="C1620" s="30" t="s">
        <v>54</v>
      </c>
      <c r="D1620" s="28">
        <f>YEAR(TableauFlitrage[[#This Row],[Date_d_adjudication]])</f>
        <v>2023</v>
      </c>
      <c r="E1620" s="28">
        <f t="shared" si="27"/>
        <v>4</v>
      </c>
      <c r="F1620" s="15">
        <v>45042</v>
      </c>
      <c r="G1620" s="28">
        <v>90.602400000000003</v>
      </c>
      <c r="H1620" s="15">
        <v>46140</v>
      </c>
      <c r="I1620">
        <v>44.148000000000003</v>
      </c>
      <c r="J1620">
        <v>25000</v>
      </c>
      <c r="K1620" s="28">
        <v>5.5</v>
      </c>
      <c r="L1620">
        <v>9.15</v>
      </c>
    </row>
    <row r="1621" spans="1:12" ht="15" customHeight="1" x14ac:dyDescent="0.2">
      <c r="A1621" s="28" t="s">
        <v>19</v>
      </c>
      <c r="B1621" s="2" t="s">
        <v>29</v>
      </c>
      <c r="C1621" s="30">
        <v>0.5</v>
      </c>
      <c r="D1621" s="28">
        <f>YEAR(TableauFlitrage[[#This Row],[Date_d_adjudication]])</f>
        <v>2023</v>
      </c>
      <c r="E1621" s="28">
        <f t="shared" si="27"/>
        <v>5</v>
      </c>
      <c r="F1621" s="15">
        <v>45048</v>
      </c>
      <c r="G1621" s="28">
        <v>95.713875000000002</v>
      </c>
      <c r="H1621" s="15">
        <v>45231</v>
      </c>
      <c r="I1621">
        <v>71.75</v>
      </c>
      <c r="J1621">
        <v>10000</v>
      </c>
      <c r="K1621" s="28">
        <v>8.8576999999999995</v>
      </c>
    </row>
    <row r="1622" spans="1:12" ht="15" customHeight="1" x14ac:dyDescent="0.2">
      <c r="A1622" s="28" t="s">
        <v>9</v>
      </c>
      <c r="B1622" s="2" t="s">
        <v>29</v>
      </c>
      <c r="C1622" s="30">
        <v>1</v>
      </c>
      <c r="D1622" s="28">
        <f>YEAR(TableauFlitrage[[#This Row],[Date_d_adjudication]])</f>
        <v>2023</v>
      </c>
      <c r="E1622" s="28">
        <f t="shared" si="27"/>
        <v>5</v>
      </c>
      <c r="F1622" s="15">
        <v>45049</v>
      </c>
      <c r="G1622" s="28">
        <v>93.464484999999996</v>
      </c>
      <c r="H1622" s="15">
        <v>45415</v>
      </c>
      <c r="I1622">
        <v>92.66</v>
      </c>
      <c r="J1622">
        <v>10000</v>
      </c>
      <c r="K1622" s="28">
        <v>6.9157000000000002</v>
      </c>
    </row>
    <row r="1623" spans="1:12" ht="15" customHeight="1" x14ac:dyDescent="0.2">
      <c r="A1623" s="28" t="s">
        <v>7</v>
      </c>
      <c r="B1623" s="2" t="s">
        <v>29</v>
      </c>
      <c r="C1623" s="30">
        <v>0.5</v>
      </c>
      <c r="D1623" s="28">
        <f>YEAR(TableauFlitrage[[#This Row],[Date_d_adjudication]])</f>
        <v>2023</v>
      </c>
      <c r="E1623" s="28">
        <f t="shared" si="27"/>
        <v>5</v>
      </c>
      <c r="F1623" s="15">
        <v>45054</v>
      </c>
      <c r="G1623" s="28">
        <v>97.734842999999998</v>
      </c>
      <c r="H1623" s="15">
        <v>45238</v>
      </c>
      <c r="I1623">
        <v>86.333299999999994</v>
      </c>
      <c r="J1623">
        <v>15000</v>
      </c>
      <c r="K1623" s="28">
        <v>4.5843999999999996</v>
      </c>
    </row>
    <row r="1624" spans="1:12" ht="15" customHeight="1" x14ac:dyDescent="0.2">
      <c r="A1624" s="28" t="s">
        <v>14</v>
      </c>
      <c r="B1624" t="s">
        <v>30</v>
      </c>
      <c r="C1624" s="30" t="s">
        <v>54</v>
      </c>
      <c r="D1624" s="28">
        <f>YEAR(TableauFlitrage[[#This Row],[Date_d_adjudication]])</f>
        <v>2023</v>
      </c>
      <c r="E1624" s="28">
        <f t="shared" si="27"/>
        <v>5</v>
      </c>
      <c r="F1624" s="15">
        <v>45054</v>
      </c>
      <c r="G1624" s="28">
        <v>88.928399999999996</v>
      </c>
      <c r="H1624" s="15">
        <v>46054</v>
      </c>
      <c r="I1624">
        <v>76.978800000000007</v>
      </c>
      <c r="J1624">
        <v>8000</v>
      </c>
      <c r="K1624" s="28">
        <v>6.5</v>
      </c>
      <c r="L1624">
        <v>10.93</v>
      </c>
    </row>
    <row r="1625" spans="1:12" ht="15" customHeight="1" x14ac:dyDescent="0.2">
      <c r="A1625" s="28" t="s">
        <v>8</v>
      </c>
      <c r="B1625" s="2" t="s">
        <v>29</v>
      </c>
      <c r="C1625" s="30">
        <v>0.5</v>
      </c>
      <c r="D1625" s="28">
        <f>YEAR(TableauFlitrage[[#This Row],[Date_d_adjudication]])</f>
        <v>2023</v>
      </c>
      <c r="E1625" s="28">
        <f t="shared" si="27"/>
        <v>5</v>
      </c>
      <c r="F1625" s="15">
        <v>45055</v>
      </c>
      <c r="G1625" s="28">
        <v>96.760107000000005</v>
      </c>
      <c r="H1625" s="15">
        <v>45239</v>
      </c>
      <c r="I1625">
        <v>58.32</v>
      </c>
      <c r="J1625">
        <v>10000</v>
      </c>
      <c r="K1625" s="28">
        <v>6.6231999999999998</v>
      </c>
    </row>
    <row r="1626" spans="1:12" ht="15" customHeight="1" x14ac:dyDescent="0.2">
      <c r="A1626" s="28" t="s">
        <v>8</v>
      </c>
      <c r="B1626" s="2" t="s">
        <v>29</v>
      </c>
      <c r="C1626" s="30">
        <v>1</v>
      </c>
      <c r="D1626" s="28">
        <f>YEAR(TableauFlitrage[[#This Row],[Date_d_adjudication]])</f>
        <v>2023</v>
      </c>
      <c r="E1626" s="28">
        <f t="shared" si="27"/>
        <v>5</v>
      </c>
      <c r="F1626" s="15">
        <v>45055</v>
      </c>
      <c r="G1626" s="28">
        <v>93.600564000000006</v>
      </c>
      <c r="H1626" s="15">
        <v>45421</v>
      </c>
      <c r="I1626">
        <v>32.79</v>
      </c>
      <c r="J1626">
        <v>10000</v>
      </c>
      <c r="K1626" s="28">
        <v>6.7618</v>
      </c>
    </row>
    <row r="1627" spans="1:12" ht="15" customHeight="1" x14ac:dyDescent="0.2">
      <c r="A1627" s="28" t="s">
        <v>10</v>
      </c>
      <c r="B1627" s="2" t="s">
        <v>29</v>
      </c>
      <c r="C1627" s="30">
        <v>1</v>
      </c>
      <c r="D1627" s="28">
        <f>YEAR(TableauFlitrage[[#This Row],[Date_d_adjudication]])</f>
        <v>2023</v>
      </c>
      <c r="E1627" s="28">
        <f t="shared" si="27"/>
        <v>5</v>
      </c>
      <c r="F1627" s="15">
        <v>45055</v>
      </c>
      <c r="G1627" s="28">
        <v>93.400982999999997</v>
      </c>
      <c r="H1627" s="15">
        <v>45421</v>
      </c>
      <c r="I1627">
        <v>124.81180000000001</v>
      </c>
      <c r="J1627">
        <v>17000</v>
      </c>
      <c r="K1627" s="28">
        <v>6.9875999999999996</v>
      </c>
    </row>
    <row r="1628" spans="1:12" ht="15" customHeight="1" x14ac:dyDescent="0.2">
      <c r="A1628" s="28" t="s">
        <v>8</v>
      </c>
      <c r="B1628" t="s">
        <v>30</v>
      </c>
      <c r="C1628" s="30" t="s">
        <v>55</v>
      </c>
      <c r="D1628" s="28">
        <f>YEAR(TableauFlitrage[[#This Row],[Date_d_adjudication]])</f>
        <v>2023</v>
      </c>
      <c r="E1628" s="28">
        <f t="shared" si="27"/>
        <v>5</v>
      </c>
      <c r="F1628" s="15">
        <v>45055</v>
      </c>
      <c r="G1628" s="28">
        <v>91.557400000000001</v>
      </c>
      <c r="H1628" s="15">
        <v>46470</v>
      </c>
      <c r="I1628">
        <v>38.840000000000003</v>
      </c>
      <c r="J1628">
        <v>5000</v>
      </c>
      <c r="K1628" s="28">
        <v>6.5</v>
      </c>
      <c r="L1628">
        <v>9.06</v>
      </c>
    </row>
    <row r="1629" spans="1:12" ht="15" customHeight="1" x14ac:dyDescent="0.2">
      <c r="A1629" s="28" t="s">
        <v>9</v>
      </c>
      <c r="B1629" s="2" t="s">
        <v>29</v>
      </c>
      <c r="C1629" s="30">
        <v>0.25</v>
      </c>
      <c r="D1629" s="28">
        <f>YEAR(TableauFlitrage[[#This Row],[Date_d_adjudication]])</f>
        <v>2023</v>
      </c>
      <c r="E1629" s="28">
        <f t="shared" si="27"/>
        <v>5</v>
      </c>
      <c r="F1629" s="15">
        <v>45056</v>
      </c>
      <c r="G1629" s="28">
        <v>98.527557000000002</v>
      </c>
      <c r="H1629" s="15">
        <v>45149</v>
      </c>
      <c r="I1629">
        <v>262.52379999999999</v>
      </c>
      <c r="J1629">
        <v>10500</v>
      </c>
      <c r="K1629" s="28">
        <v>5.9120999999999997</v>
      </c>
    </row>
    <row r="1630" spans="1:12" ht="15" customHeight="1" x14ac:dyDescent="0.2">
      <c r="A1630" s="28" t="s">
        <v>11</v>
      </c>
      <c r="B1630" s="2" t="s">
        <v>29</v>
      </c>
      <c r="C1630" s="30">
        <v>0.5</v>
      </c>
      <c r="D1630" s="28">
        <f>YEAR(TableauFlitrage[[#This Row],[Date_d_adjudication]])</f>
        <v>2023</v>
      </c>
      <c r="E1630" s="28">
        <f t="shared" si="27"/>
        <v>5</v>
      </c>
      <c r="F1630" s="15">
        <v>45056</v>
      </c>
      <c r="G1630" s="28">
        <v>96.651968999999994</v>
      </c>
      <c r="H1630" s="15">
        <v>45240</v>
      </c>
      <c r="I1630">
        <v>91.2</v>
      </c>
      <c r="J1630">
        <v>10000</v>
      </c>
      <c r="K1630" s="28">
        <v>6.8518999999999997</v>
      </c>
    </row>
    <row r="1631" spans="1:12" ht="15" customHeight="1" x14ac:dyDescent="0.2">
      <c r="A1631" s="28" t="s">
        <v>8</v>
      </c>
      <c r="B1631" s="2" t="s">
        <v>29</v>
      </c>
      <c r="C1631" s="30">
        <v>0.5</v>
      </c>
      <c r="D1631" s="28">
        <f>YEAR(TableauFlitrage[[#This Row],[Date_d_adjudication]])</f>
        <v>2023</v>
      </c>
      <c r="E1631" s="28">
        <f t="shared" si="27"/>
        <v>5</v>
      </c>
      <c r="F1631" s="15">
        <v>45062</v>
      </c>
      <c r="G1631" s="28">
        <v>96.774720000000002</v>
      </c>
      <c r="H1631" s="15">
        <v>45246</v>
      </c>
      <c r="I1631">
        <v>126.17</v>
      </c>
      <c r="J1631">
        <v>10000</v>
      </c>
      <c r="K1631" s="28">
        <v>6.5922999999999998</v>
      </c>
    </row>
    <row r="1632" spans="1:12" ht="15" customHeight="1" x14ac:dyDescent="0.2">
      <c r="A1632" s="28" t="s">
        <v>8</v>
      </c>
      <c r="B1632" s="2" t="s">
        <v>29</v>
      </c>
      <c r="C1632" s="30">
        <v>0.25</v>
      </c>
      <c r="D1632" s="28">
        <f>YEAR(TableauFlitrage[[#This Row],[Date_d_adjudication]])</f>
        <v>2023</v>
      </c>
      <c r="E1632" s="28">
        <f t="shared" si="27"/>
        <v>5</v>
      </c>
      <c r="F1632" s="15">
        <v>45062</v>
      </c>
      <c r="G1632" s="28">
        <v>98.462281000000004</v>
      </c>
      <c r="H1632" s="15">
        <v>45155</v>
      </c>
      <c r="I1632">
        <v>53.29</v>
      </c>
      <c r="J1632">
        <v>10000</v>
      </c>
      <c r="K1632" s="28">
        <v>6.1783000000000001</v>
      </c>
    </row>
    <row r="1633" spans="1:12" ht="15" customHeight="1" x14ac:dyDescent="0.2">
      <c r="A1633" s="28" t="s">
        <v>9</v>
      </c>
      <c r="B1633" s="2" t="s">
        <v>29</v>
      </c>
      <c r="C1633" s="30">
        <v>0.25</v>
      </c>
      <c r="D1633" s="28">
        <f>YEAR(TableauFlitrage[[#This Row],[Date_d_adjudication]])</f>
        <v>2023</v>
      </c>
      <c r="E1633" s="28">
        <f t="shared" si="27"/>
        <v>5</v>
      </c>
      <c r="F1633" s="15">
        <v>45063</v>
      </c>
      <c r="G1633" s="28">
        <v>98.571979999999996</v>
      </c>
      <c r="H1633" s="15">
        <v>45156</v>
      </c>
      <c r="I1633">
        <v>260.39999999999998</v>
      </c>
      <c r="J1633">
        <v>10000</v>
      </c>
      <c r="K1633" s="28">
        <v>5.7312000000000003</v>
      </c>
    </row>
    <row r="1634" spans="1:12" ht="15" customHeight="1" x14ac:dyDescent="0.2">
      <c r="A1634" s="28" t="s">
        <v>9</v>
      </c>
      <c r="B1634" t="s">
        <v>30</v>
      </c>
      <c r="C1634" s="30" t="s">
        <v>56</v>
      </c>
      <c r="D1634" s="28">
        <f>YEAR(TableauFlitrage[[#This Row],[Date_d_adjudication]])</f>
        <v>2023</v>
      </c>
      <c r="E1634" s="28">
        <f t="shared" si="27"/>
        <v>5</v>
      </c>
      <c r="F1634" s="15">
        <v>45063</v>
      </c>
      <c r="G1634" s="28">
        <v>90.017399999999995</v>
      </c>
      <c r="H1634" s="15">
        <v>46526</v>
      </c>
      <c r="I1634">
        <v>58.165300000000002</v>
      </c>
      <c r="J1634">
        <v>17500</v>
      </c>
      <c r="K1634" s="28">
        <v>5.75</v>
      </c>
      <c r="L1634">
        <v>8.76</v>
      </c>
    </row>
    <row r="1635" spans="1:12" ht="15" customHeight="1" x14ac:dyDescent="0.2">
      <c r="A1635" s="28" t="s">
        <v>9</v>
      </c>
      <c r="B1635" t="s">
        <v>30</v>
      </c>
      <c r="C1635" s="30" t="s">
        <v>61</v>
      </c>
      <c r="D1635" s="28">
        <f>YEAR(TableauFlitrage[[#This Row],[Date_d_adjudication]])</f>
        <v>2023</v>
      </c>
      <c r="E1635" s="28">
        <f t="shared" si="27"/>
        <v>5</v>
      </c>
      <c r="F1635" s="15">
        <v>45063</v>
      </c>
      <c r="G1635" s="28">
        <v>90.133200000000002</v>
      </c>
      <c r="H1635" s="15">
        <v>48718</v>
      </c>
      <c r="I1635">
        <v>138.47999999999999</v>
      </c>
      <c r="J1635">
        <v>12500</v>
      </c>
      <c r="K1635" s="28">
        <v>8.25</v>
      </c>
      <c r="L1635">
        <v>9.82</v>
      </c>
    </row>
    <row r="1636" spans="1:12" ht="15" customHeight="1" x14ac:dyDescent="0.2">
      <c r="A1636" s="28" t="s">
        <v>7</v>
      </c>
      <c r="B1636" s="2" t="s">
        <v>29</v>
      </c>
      <c r="C1636" s="30">
        <v>0.5</v>
      </c>
      <c r="D1636" s="28">
        <f>YEAR(TableauFlitrage[[#This Row],[Date_d_adjudication]])</f>
        <v>2023</v>
      </c>
      <c r="E1636" s="28">
        <f t="shared" si="27"/>
        <v>5</v>
      </c>
      <c r="F1636" s="15">
        <v>45068</v>
      </c>
      <c r="G1636" s="28">
        <v>97.638687000000004</v>
      </c>
      <c r="H1636" s="15">
        <v>45252</v>
      </c>
      <c r="I1636">
        <v>88.92</v>
      </c>
      <c r="J1636">
        <v>15000</v>
      </c>
      <c r="K1636" s="28">
        <v>4.7836999999999996</v>
      </c>
    </row>
    <row r="1637" spans="1:12" ht="15" customHeight="1" x14ac:dyDescent="0.2">
      <c r="A1637" s="28" t="s">
        <v>14</v>
      </c>
      <c r="B1637" t="s">
        <v>30</v>
      </c>
      <c r="C1637" s="30" t="s">
        <v>56</v>
      </c>
      <c r="D1637" s="28">
        <f>YEAR(TableauFlitrage[[#This Row],[Date_d_adjudication]])</f>
        <v>2023</v>
      </c>
      <c r="E1637" s="28">
        <f t="shared" si="27"/>
        <v>5</v>
      </c>
      <c r="F1637" s="15">
        <v>45068</v>
      </c>
      <c r="G1637" s="28">
        <v>88.620500000000007</v>
      </c>
      <c r="H1637" s="15">
        <v>46440</v>
      </c>
      <c r="I1637">
        <v>71.747100000000003</v>
      </c>
      <c r="J1637">
        <v>7000</v>
      </c>
      <c r="K1637" s="28">
        <v>6.5</v>
      </c>
      <c r="L1637">
        <v>10.02</v>
      </c>
    </row>
    <row r="1638" spans="1:12" ht="15" customHeight="1" x14ac:dyDescent="0.2">
      <c r="A1638" s="28" t="s">
        <v>8</v>
      </c>
      <c r="B1638" s="2" t="s">
        <v>29</v>
      </c>
      <c r="C1638" s="30">
        <v>0.5</v>
      </c>
      <c r="D1638" s="28">
        <f>YEAR(TableauFlitrage[[#This Row],[Date_d_adjudication]])</f>
        <v>2023</v>
      </c>
      <c r="E1638" s="28">
        <f t="shared" si="27"/>
        <v>5</v>
      </c>
      <c r="F1638" s="15">
        <v>45069</v>
      </c>
      <c r="G1638" s="28">
        <v>96.766358999999994</v>
      </c>
      <c r="H1638" s="15">
        <v>45253</v>
      </c>
      <c r="I1638">
        <v>69.083299999999994</v>
      </c>
      <c r="J1638">
        <v>12000</v>
      </c>
      <c r="K1638" s="28">
        <v>6.61</v>
      </c>
    </row>
    <row r="1639" spans="1:12" ht="15" customHeight="1" x14ac:dyDescent="0.2">
      <c r="A1639" s="28" t="s">
        <v>10</v>
      </c>
      <c r="B1639" s="2" t="s">
        <v>29</v>
      </c>
      <c r="C1639" s="30">
        <v>1</v>
      </c>
      <c r="D1639" s="28">
        <f>YEAR(TableauFlitrage[[#This Row],[Date_d_adjudication]])</f>
        <v>2023</v>
      </c>
      <c r="E1639" s="28">
        <f t="shared" si="27"/>
        <v>5</v>
      </c>
      <c r="F1639" s="15">
        <v>45069</v>
      </c>
      <c r="G1639" s="28">
        <v>93.323254000000006</v>
      </c>
      <c r="H1639" s="15">
        <v>45435</v>
      </c>
      <c r="I1639">
        <v>101.44710000000001</v>
      </c>
      <c r="J1639">
        <v>17000</v>
      </c>
      <c r="K1639" s="28">
        <v>7.0758000000000001</v>
      </c>
    </row>
    <row r="1640" spans="1:12" ht="15" customHeight="1" x14ac:dyDescent="0.2">
      <c r="A1640" s="28" t="s">
        <v>8</v>
      </c>
      <c r="B1640" t="s">
        <v>30</v>
      </c>
      <c r="C1640" s="30" t="s">
        <v>54</v>
      </c>
      <c r="D1640" s="28">
        <f>YEAR(TableauFlitrage[[#This Row],[Date_d_adjudication]])</f>
        <v>2023</v>
      </c>
      <c r="E1640" s="28">
        <f t="shared" si="27"/>
        <v>5</v>
      </c>
      <c r="F1640" s="15">
        <v>45069</v>
      </c>
      <c r="G1640" s="28">
        <v>90.722399999999993</v>
      </c>
      <c r="H1640" s="15">
        <v>46167</v>
      </c>
      <c r="I1640">
        <v>34.119999999999997</v>
      </c>
      <c r="J1640">
        <v>10000</v>
      </c>
      <c r="K1640" s="28">
        <v>5.7</v>
      </c>
      <c r="L1640">
        <v>9.32</v>
      </c>
    </row>
    <row r="1641" spans="1:12" x14ac:dyDescent="0.2">
      <c r="A1641" s="28" t="s">
        <v>8</v>
      </c>
      <c r="B1641" t="s">
        <v>30</v>
      </c>
      <c r="C1641" s="30" t="s">
        <v>61</v>
      </c>
      <c r="D1641" s="28">
        <f>YEAR(TableauFlitrage[[#This Row],[Date_d_adjudication]])</f>
        <v>2023</v>
      </c>
      <c r="E1641" s="28">
        <f t="shared" si="27"/>
        <v>5</v>
      </c>
      <c r="F1641" s="15">
        <v>45069</v>
      </c>
      <c r="G1641" s="28">
        <v>90.01</v>
      </c>
      <c r="H1641" s="15">
        <v>48724</v>
      </c>
      <c r="I1641">
        <v>100.35</v>
      </c>
      <c r="J1641">
        <v>10000</v>
      </c>
      <c r="K1641" s="28">
        <v>8.75</v>
      </c>
      <c r="L1641">
        <v>10.38</v>
      </c>
    </row>
    <row r="1642" spans="1:12" x14ac:dyDescent="0.2">
      <c r="A1642" s="28" t="s">
        <v>9</v>
      </c>
      <c r="B1642" s="2" t="s">
        <v>29</v>
      </c>
      <c r="C1642" s="30">
        <v>0.5</v>
      </c>
      <c r="D1642" s="28">
        <f>YEAR(TableauFlitrage[[#This Row],[Date_d_adjudication]])</f>
        <v>2023</v>
      </c>
      <c r="E1642" s="28">
        <f t="shared" si="27"/>
        <v>5</v>
      </c>
      <c r="F1642" s="15">
        <v>45070</v>
      </c>
      <c r="G1642" s="28">
        <v>97.022126</v>
      </c>
      <c r="H1642" s="15">
        <v>45254</v>
      </c>
      <c r="I1642">
        <v>140.21</v>
      </c>
      <c r="J1642">
        <v>10000</v>
      </c>
      <c r="K1642" s="28">
        <v>6.0711000000000004</v>
      </c>
    </row>
    <row r="1643" spans="1:12" x14ac:dyDescent="0.2">
      <c r="A1643" s="28" t="s">
        <v>9</v>
      </c>
      <c r="B1643" t="s">
        <v>30</v>
      </c>
      <c r="C1643" s="30" t="s">
        <v>56</v>
      </c>
      <c r="D1643" s="28">
        <f>YEAR(TableauFlitrage[[#This Row],[Date_d_adjudication]])</f>
        <v>2023</v>
      </c>
      <c r="E1643" s="28">
        <f t="shared" si="27"/>
        <v>5</v>
      </c>
      <c r="F1643" s="15">
        <v>45070</v>
      </c>
      <c r="G1643" s="28">
        <v>90.131699999999995</v>
      </c>
      <c r="H1643" s="15">
        <v>46526</v>
      </c>
      <c r="I1643">
        <v>76.150000000000006</v>
      </c>
      <c r="J1643">
        <v>10000</v>
      </c>
      <c r="K1643" s="28">
        <v>5.75</v>
      </c>
      <c r="L1643">
        <v>8.73</v>
      </c>
    </row>
    <row r="1644" spans="1:12" x14ac:dyDescent="0.2">
      <c r="A1644" s="28" t="s">
        <v>9</v>
      </c>
      <c r="B1644" t="s">
        <v>30</v>
      </c>
      <c r="C1644" s="30" t="s">
        <v>61</v>
      </c>
      <c r="D1644" s="28">
        <f>YEAR(TableauFlitrage[[#This Row],[Date_d_adjudication]])</f>
        <v>2023</v>
      </c>
      <c r="E1644" s="28">
        <f t="shared" si="27"/>
        <v>5</v>
      </c>
      <c r="F1644" s="15">
        <v>45070</v>
      </c>
      <c r="G1644" s="28">
        <v>90.157799999999995</v>
      </c>
      <c r="H1644" s="15">
        <v>48718</v>
      </c>
      <c r="I1644">
        <v>24.32</v>
      </c>
      <c r="J1644">
        <v>12500</v>
      </c>
      <c r="K1644" s="28">
        <v>8.25</v>
      </c>
      <c r="L1644">
        <v>9.82</v>
      </c>
    </row>
    <row r="1645" spans="1:12" x14ac:dyDescent="0.2">
      <c r="A1645" s="28" t="s">
        <v>7</v>
      </c>
      <c r="B1645" s="2" t="s">
        <v>29</v>
      </c>
      <c r="C1645" s="30">
        <v>0.25</v>
      </c>
      <c r="D1645" s="28">
        <f>YEAR(TableauFlitrage[[#This Row],[Date_d_adjudication]])</f>
        <v>2023</v>
      </c>
      <c r="E1645" s="28">
        <f t="shared" si="27"/>
        <v>5</v>
      </c>
      <c r="F1645" s="15">
        <v>45075</v>
      </c>
      <c r="G1645" s="28">
        <v>98.845394999999996</v>
      </c>
      <c r="H1645" s="15">
        <v>45168</v>
      </c>
      <c r="I1645">
        <v>119.7333</v>
      </c>
      <c r="J1645">
        <v>15000</v>
      </c>
      <c r="K1645" s="28">
        <v>4.6210000000000004</v>
      </c>
    </row>
    <row r="1646" spans="1:12" x14ac:dyDescent="0.2">
      <c r="A1646" s="28" t="s">
        <v>8</v>
      </c>
      <c r="B1646" s="2" t="s">
        <v>29</v>
      </c>
      <c r="C1646" s="30">
        <v>0.25</v>
      </c>
      <c r="D1646" s="28">
        <f>YEAR(TableauFlitrage[[#This Row],[Date_d_adjudication]])</f>
        <v>2023</v>
      </c>
      <c r="E1646" s="28">
        <f t="shared" si="27"/>
        <v>5</v>
      </c>
      <c r="F1646" s="15">
        <v>45076</v>
      </c>
      <c r="G1646" s="28">
        <v>98.486768999999995</v>
      </c>
      <c r="H1646" s="15">
        <v>45169</v>
      </c>
      <c r="I1646">
        <v>53.56</v>
      </c>
      <c r="J1646">
        <v>10000</v>
      </c>
      <c r="K1646" s="28">
        <v>6.0784000000000002</v>
      </c>
    </row>
    <row r="1647" spans="1:12" x14ac:dyDescent="0.2">
      <c r="A1647" s="28" t="s">
        <v>8</v>
      </c>
      <c r="B1647" s="2" t="s">
        <v>29</v>
      </c>
      <c r="C1647" s="30">
        <v>0.5</v>
      </c>
      <c r="D1647" s="28">
        <f>YEAR(TableauFlitrage[[#This Row],[Date_d_adjudication]])</f>
        <v>2023</v>
      </c>
      <c r="E1647" s="28">
        <f t="shared" si="27"/>
        <v>5</v>
      </c>
      <c r="F1647" s="15">
        <v>45076</v>
      </c>
      <c r="G1647" s="28">
        <v>96.892859999999999</v>
      </c>
      <c r="H1647" s="15">
        <v>45260</v>
      </c>
      <c r="I1647">
        <v>10.98</v>
      </c>
      <c r="J1647">
        <v>10000</v>
      </c>
      <c r="K1647" s="28">
        <v>6.3430999999999997</v>
      </c>
    </row>
    <row r="1648" spans="1:12" ht="15" customHeight="1" x14ac:dyDescent="0.2">
      <c r="A1648" s="28" t="s">
        <v>9</v>
      </c>
      <c r="B1648" s="2" t="s">
        <v>29</v>
      </c>
      <c r="C1648" s="30">
        <v>0.5</v>
      </c>
      <c r="D1648" s="28">
        <f>YEAR(TableauFlitrage[[#This Row],[Date_d_adjudication]])</f>
        <v>2023</v>
      </c>
      <c r="E1648" s="28">
        <f t="shared" si="27"/>
        <v>5</v>
      </c>
      <c r="F1648" s="15">
        <v>45077</v>
      </c>
      <c r="G1648" s="28">
        <v>96.988049000000004</v>
      </c>
      <c r="H1648" s="15">
        <v>45261</v>
      </c>
      <c r="I1648">
        <v>132.1412</v>
      </c>
      <c r="J1648">
        <v>8500</v>
      </c>
      <c r="K1648" s="28">
        <v>6.1426999999999996</v>
      </c>
    </row>
    <row r="1649" spans="1:12" ht="15" customHeight="1" x14ac:dyDescent="0.2">
      <c r="A1649" s="28" t="s">
        <v>11</v>
      </c>
      <c r="B1649" s="2" t="s">
        <v>29</v>
      </c>
      <c r="C1649" s="30">
        <v>0.5</v>
      </c>
      <c r="D1649" s="28">
        <f>YEAR(TableauFlitrage[[#This Row],[Date_d_adjudication]])</f>
        <v>2023</v>
      </c>
      <c r="E1649" s="28">
        <f t="shared" si="27"/>
        <v>5</v>
      </c>
      <c r="F1649" s="15">
        <v>45077</v>
      </c>
      <c r="G1649" s="28">
        <v>96.714471000000003</v>
      </c>
      <c r="H1649" s="15">
        <v>45261</v>
      </c>
      <c r="I1649">
        <v>98.681799999999996</v>
      </c>
      <c r="J1649">
        <v>11000</v>
      </c>
      <c r="K1649" s="28">
        <v>6.7195999999999998</v>
      </c>
    </row>
    <row r="1650" spans="1:12" ht="15" customHeight="1" x14ac:dyDescent="0.2">
      <c r="A1650" s="28" t="s">
        <v>8</v>
      </c>
      <c r="B1650" s="2" t="s">
        <v>29</v>
      </c>
      <c r="C1650" s="30">
        <v>0.25</v>
      </c>
      <c r="D1650" s="28">
        <f>YEAR(TableauFlitrage[[#This Row],[Date_d_adjudication]])</f>
        <v>2023</v>
      </c>
      <c r="E1650" s="28">
        <f t="shared" si="27"/>
        <v>6</v>
      </c>
      <c r="F1650" s="15">
        <v>45083</v>
      </c>
      <c r="G1650" s="28">
        <v>98.438608000000002</v>
      </c>
      <c r="H1650" s="15">
        <v>45176</v>
      </c>
      <c r="I1650">
        <v>118.795</v>
      </c>
      <c r="J1650">
        <v>20000</v>
      </c>
      <c r="K1650" s="28">
        <v>6.2748999999999997</v>
      </c>
    </row>
    <row r="1651" spans="1:12" ht="15" customHeight="1" x14ac:dyDescent="0.2">
      <c r="A1651" s="28" t="s">
        <v>9</v>
      </c>
      <c r="B1651" s="2" t="s">
        <v>29</v>
      </c>
      <c r="C1651" s="30">
        <v>0.5</v>
      </c>
      <c r="D1651" s="28">
        <f>YEAR(TableauFlitrage[[#This Row],[Date_d_adjudication]])</f>
        <v>2023</v>
      </c>
      <c r="E1651" s="28">
        <f t="shared" si="27"/>
        <v>6</v>
      </c>
      <c r="F1651" s="15">
        <v>45084</v>
      </c>
      <c r="G1651" s="28">
        <v>96.945386999999997</v>
      </c>
      <c r="H1651" s="15">
        <v>45268</v>
      </c>
      <c r="I1651">
        <v>90.278300000000002</v>
      </c>
      <c r="J1651">
        <v>11500</v>
      </c>
      <c r="K1651" s="28">
        <v>6.2324999999999999</v>
      </c>
    </row>
    <row r="1652" spans="1:12" ht="15" customHeight="1" x14ac:dyDescent="0.2">
      <c r="A1652" s="28" t="s">
        <v>9</v>
      </c>
      <c r="B1652" t="s">
        <v>30</v>
      </c>
      <c r="C1652" s="30" t="s">
        <v>55</v>
      </c>
      <c r="D1652" s="28">
        <f>YEAR(TableauFlitrage[[#This Row],[Date_d_adjudication]])</f>
        <v>2023</v>
      </c>
      <c r="E1652" s="28">
        <f t="shared" si="27"/>
        <v>6</v>
      </c>
      <c r="F1652" s="15">
        <v>45084</v>
      </c>
      <c r="G1652" s="28">
        <v>90.304199999999994</v>
      </c>
      <c r="H1652" s="15">
        <v>46913</v>
      </c>
      <c r="I1652">
        <v>44.076000000000001</v>
      </c>
      <c r="J1652">
        <v>25000</v>
      </c>
      <c r="K1652" s="28">
        <v>6.5</v>
      </c>
      <c r="L1652">
        <v>8.9499999999999993</v>
      </c>
    </row>
    <row r="1653" spans="1:12" ht="15" customHeight="1" x14ac:dyDescent="0.2">
      <c r="A1653" s="28" t="s">
        <v>14</v>
      </c>
      <c r="B1653" t="s">
        <v>30</v>
      </c>
      <c r="C1653" s="30" t="s">
        <v>54</v>
      </c>
      <c r="D1653" s="28">
        <f>YEAR(TableauFlitrage[[#This Row],[Date_d_adjudication]])</f>
        <v>2023</v>
      </c>
      <c r="E1653" s="28">
        <f t="shared" si="27"/>
        <v>6</v>
      </c>
      <c r="F1653" s="15">
        <v>45089</v>
      </c>
      <c r="G1653" s="28">
        <v>87.721599999999995</v>
      </c>
      <c r="H1653" s="15">
        <v>46187</v>
      </c>
      <c r="I1653">
        <v>67.165499999999994</v>
      </c>
      <c r="J1653">
        <v>10000</v>
      </c>
      <c r="K1653" s="28">
        <v>6.5</v>
      </c>
      <c r="L1653">
        <v>11.45</v>
      </c>
    </row>
    <row r="1654" spans="1:12" ht="15" customHeight="1" x14ac:dyDescent="0.2">
      <c r="A1654" s="28" t="s">
        <v>8</v>
      </c>
      <c r="B1654" s="2" t="s">
        <v>29</v>
      </c>
      <c r="C1654" s="30">
        <v>0.5</v>
      </c>
      <c r="D1654" s="28">
        <f>YEAR(TableauFlitrage[[#This Row],[Date_d_adjudication]])</f>
        <v>2023</v>
      </c>
      <c r="E1654" s="28">
        <f t="shared" si="27"/>
        <v>6</v>
      </c>
      <c r="F1654" s="15">
        <v>45090</v>
      </c>
      <c r="G1654" s="28">
        <v>96.839410999999998</v>
      </c>
      <c r="H1654" s="15">
        <v>45274</v>
      </c>
      <c r="I1654">
        <v>31.191700000000001</v>
      </c>
      <c r="J1654">
        <v>12000</v>
      </c>
      <c r="K1654" s="28">
        <v>6.4558</v>
      </c>
    </row>
    <row r="1655" spans="1:12" ht="15" customHeight="1" x14ac:dyDescent="0.2">
      <c r="A1655" s="28" t="s">
        <v>8</v>
      </c>
      <c r="B1655" t="s">
        <v>30</v>
      </c>
      <c r="C1655" s="30" t="s">
        <v>54</v>
      </c>
      <c r="D1655" s="28">
        <f>YEAR(TableauFlitrage[[#This Row],[Date_d_adjudication]])</f>
        <v>2023</v>
      </c>
      <c r="E1655" s="28">
        <f t="shared" si="27"/>
        <v>6</v>
      </c>
      <c r="F1655" s="15">
        <v>45090</v>
      </c>
      <c r="G1655" s="28">
        <v>91.308899999999994</v>
      </c>
      <c r="H1655" s="15">
        <v>46188</v>
      </c>
      <c r="I1655">
        <v>24.6</v>
      </c>
      <c r="J1655">
        <v>10000</v>
      </c>
      <c r="K1655" s="28">
        <v>6</v>
      </c>
      <c r="L1655">
        <v>9.39</v>
      </c>
    </row>
    <row r="1656" spans="1:12" ht="15" customHeight="1" x14ac:dyDescent="0.2">
      <c r="A1656" s="28" t="s">
        <v>9</v>
      </c>
      <c r="B1656" s="2" t="s">
        <v>29</v>
      </c>
      <c r="C1656" s="30">
        <v>1</v>
      </c>
      <c r="D1656" s="28">
        <f>YEAR(TableauFlitrage[[#This Row],[Date_d_adjudication]])</f>
        <v>2023</v>
      </c>
      <c r="E1656" s="28">
        <f t="shared" si="27"/>
        <v>6</v>
      </c>
      <c r="F1656" s="15">
        <v>45091</v>
      </c>
      <c r="G1656" s="28">
        <v>93.673072000000005</v>
      </c>
      <c r="H1656" s="15">
        <v>45457</v>
      </c>
      <c r="I1656">
        <v>71.739999999999995</v>
      </c>
      <c r="J1656">
        <v>10000</v>
      </c>
      <c r="K1656" s="28">
        <v>6.68</v>
      </c>
    </row>
    <row r="1657" spans="1:12" ht="15" customHeight="1" x14ac:dyDescent="0.2">
      <c r="A1657" s="28" t="s">
        <v>11</v>
      </c>
      <c r="B1657" s="2" t="s">
        <v>29</v>
      </c>
      <c r="C1657" s="30">
        <v>0.5</v>
      </c>
      <c r="D1657" s="28">
        <f>YEAR(TableauFlitrage[[#This Row],[Date_d_adjudication]])</f>
        <v>2023</v>
      </c>
      <c r="E1657" s="28">
        <f t="shared" si="27"/>
        <v>6</v>
      </c>
      <c r="F1657" s="15">
        <v>45091</v>
      </c>
      <c r="G1657" s="28">
        <v>96.590027000000006</v>
      </c>
      <c r="H1657" s="15">
        <v>45275</v>
      </c>
      <c r="I1657">
        <v>46.02</v>
      </c>
      <c r="J1657">
        <v>20000</v>
      </c>
      <c r="K1657" s="28">
        <v>6.9831000000000003</v>
      </c>
    </row>
    <row r="1658" spans="1:12" x14ac:dyDescent="0.2">
      <c r="A1658" s="28" t="s">
        <v>11</v>
      </c>
      <c r="B1658" t="s">
        <v>30</v>
      </c>
      <c r="C1658" s="30" t="s">
        <v>53</v>
      </c>
      <c r="D1658" s="28">
        <f>YEAR(TableauFlitrage[[#This Row],[Date_d_adjudication]])</f>
        <v>2023</v>
      </c>
      <c r="E1658" s="28">
        <f t="shared" ref="E1658:E1715" si="28">MONTH(F1658)</f>
        <v>6</v>
      </c>
      <c r="F1658" s="15">
        <v>45091</v>
      </c>
      <c r="G1658" s="28">
        <v>90.628900000000002</v>
      </c>
      <c r="H1658" s="15">
        <v>45824</v>
      </c>
      <c r="I1658">
        <v>27.2577</v>
      </c>
      <c r="J1658">
        <v>30000</v>
      </c>
      <c r="K1658" s="28">
        <v>6.5</v>
      </c>
      <c r="L1658">
        <v>11.9</v>
      </c>
    </row>
    <row r="1659" spans="1:12" ht="15" customHeight="1" x14ac:dyDescent="0.2">
      <c r="A1659" s="28" t="s">
        <v>9</v>
      </c>
      <c r="B1659" t="s">
        <v>30</v>
      </c>
      <c r="C1659" s="30" t="s">
        <v>53</v>
      </c>
      <c r="D1659" s="28">
        <f>YEAR(TableauFlitrage[[#This Row],[Date_d_adjudication]])</f>
        <v>2023</v>
      </c>
      <c r="E1659" s="28">
        <f t="shared" si="28"/>
        <v>6</v>
      </c>
      <c r="F1659" s="15">
        <v>45091</v>
      </c>
      <c r="G1659" s="28">
        <v>94.541700000000006</v>
      </c>
      <c r="H1659" s="15">
        <v>45824</v>
      </c>
      <c r="I1659">
        <v>125.33329999999999</v>
      </c>
      <c r="J1659">
        <v>15000</v>
      </c>
      <c r="K1659" s="28">
        <v>5</v>
      </c>
      <c r="L1659">
        <v>8.01</v>
      </c>
    </row>
    <row r="1660" spans="1:12" ht="15" customHeight="1" x14ac:dyDescent="0.2">
      <c r="A1660" s="28" t="s">
        <v>7</v>
      </c>
      <c r="B1660" s="2" t="s">
        <v>29</v>
      </c>
      <c r="C1660" s="30">
        <v>0.25</v>
      </c>
      <c r="D1660" s="28">
        <f>YEAR(TableauFlitrage[[#This Row],[Date_d_adjudication]])</f>
        <v>2023</v>
      </c>
      <c r="E1660" s="28">
        <f t="shared" si="28"/>
        <v>6</v>
      </c>
      <c r="F1660" s="15">
        <v>45096</v>
      </c>
      <c r="G1660" s="28">
        <v>98.832626000000005</v>
      </c>
      <c r="H1660" s="15">
        <v>45189</v>
      </c>
      <c r="I1660">
        <v>46.7333</v>
      </c>
      <c r="J1660">
        <v>15000</v>
      </c>
      <c r="K1660" s="28">
        <v>4.6726999999999999</v>
      </c>
    </row>
    <row r="1661" spans="1:12" ht="15" customHeight="1" x14ac:dyDescent="0.2">
      <c r="A1661" s="28" t="s">
        <v>8</v>
      </c>
      <c r="B1661" s="2" t="s">
        <v>29</v>
      </c>
      <c r="C1661" s="30">
        <v>0.25</v>
      </c>
      <c r="D1661" s="28">
        <f>YEAR(TableauFlitrage[[#This Row],[Date_d_adjudication]])</f>
        <v>2023</v>
      </c>
      <c r="E1661" s="28">
        <f t="shared" si="28"/>
        <v>6</v>
      </c>
      <c r="F1661" s="15">
        <v>45097</v>
      </c>
      <c r="G1661" s="28">
        <v>98.483333000000002</v>
      </c>
      <c r="H1661" s="15">
        <v>45190</v>
      </c>
      <c r="I1661">
        <v>136.30000000000001</v>
      </c>
      <c r="J1661">
        <v>10000</v>
      </c>
      <c r="K1661" s="28">
        <v>6.0923999999999996</v>
      </c>
    </row>
    <row r="1662" spans="1:12" ht="15" customHeight="1" x14ac:dyDescent="0.2">
      <c r="A1662" s="28" t="s">
        <v>8</v>
      </c>
      <c r="B1662" s="2" t="s">
        <v>29</v>
      </c>
      <c r="C1662" s="30">
        <v>0.5</v>
      </c>
      <c r="D1662" s="28">
        <f>YEAR(TableauFlitrage[[#This Row],[Date_d_adjudication]])</f>
        <v>2023</v>
      </c>
      <c r="E1662" s="28">
        <f t="shared" si="28"/>
        <v>6</v>
      </c>
      <c r="F1662" s="15">
        <v>45097</v>
      </c>
      <c r="G1662" s="28">
        <v>96.713888999999995</v>
      </c>
      <c r="H1662" s="15">
        <v>45281</v>
      </c>
      <c r="I1662">
        <v>100</v>
      </c>
      <c r="J1662">
        <v>25000</v>
      </c>
      <c r="K1662" s="28">
        <v>6.7209000000000003</v>
      </c>
    </row>
    <row r="1663" spans="1:12" ht="15" customHeight="1" x14ac:dyDescent="0.2">
      <c r="A1663" s="28" t="s">
        <v>8</v>
      </c>
      <c r="B1663" s="2" t="s">
        <v>29</v>
      </c>
      <c r="C1663" s="30">
        <v>1</v>
      </c>
      <c r="D1663" s="28">
        <f>YEAR(TableauFlitrage[[#This Row],[Date_d_adjudication]])</f>
        <v>2023</v>
      </c>
      <c r="E1663" s="28">
        <f t="shared" si="28"/>
        <v>6</v>
      </c>
      <c r="F1663" s="15">
        <v>45097</v>
      </c>
      <c r="G1663" s="28">
        <v>93.174999999999997</v>
      </c>
      <c r="H1663" s="15">
        <v>45463</v>
      </c>
      <c r="I1663">
        <v>27.55</v>
      </c>
      <c r="J1663">
        <v>20000</v>
      </c>
      <c r="K1663" s="28">
        <v>7.2443999999999997</v>
      </c>
    </row>
    <row r="1664" spans="1:12" x14ac:dyDescent="0.2">
      <c r="A1664" s="28" t="s">
        <v>10</v>
      </c>
      <c r="B1664" s="2" t="s">
        <v>29</v>
      </c>
      <c r="C1664" s="30">
        <v>1</v>
      </c>
      <c r="D1664" s="28">
        <f>YEAR(TableauFlitrage[[#This Row],[Date_d_adjudication]])</f>
        <v>2023</v>
      </c>
      <c r="E1664" s="28">
        <f t="shared" si="28"/>
        <v>6</v>
      </c>
      <c r="F1664" s="15">
        <v>45097</v>
      </c>
      <c r="G1664" s="28">
        <v>93.265488000000005</v>
      </c>
      <c r="H1664" s="15">
        <v>45463</v>
      </c>
      <c r="I1664">
        <v>37.67</v>
      </c>
      <c r="J1664">
        <v>20000</v>
      </c>
      <c r="K1664" s="28">
        <v>7.1414</v>
      </c>
    </row>
    <row r="1665" spans="1:12" ht="15" customHeight="1" x14ac:dyDescent="0.2">
      <c r="A1665" s="28" t="s">
        <v>8</v>
      </c>
      <c r="B1665" t="s">
        <v>30</v>
      </c>
      <c r="C1665" s="30" t="s">
        <v>53</v>
      </c>
      <c r="D1665" s="28">
        <f>YEAR(TableauFlitrage[[#This Row],[Date_d_adjudication]])</f>
        <v>2023</v>
      </c>
      <c r="E1665" s="28">
        <f t="shared" si="28"/>
        <v>6</v>
      </c>
      <c r="F1665" s="15">
        <v>45097</v>
      </c>
      <c r="G1665" s="28">
        <v>93</v>
      </c>
      <c r="H1665" s="15">
        <v>45830</v>
      </c>
      <c r="I1665">
        <v>76.674999999999997</v>
      </c>
      <c r="J1665">
        <v>20000</v>
      </c>
      <c r="K1665" s="28">
        <v>5.5</v>
      </c>
      <c r="L1665">
        <v>9.42</v>
      </c>
    </row>
    <row r="1666" spans="1:12" ht="15" customHeight="1" x14ac:dyDescent="0.2">
      <c r="A1666" s="28" t="s">
        <v>8</v>
      </c>
      <c r="B1666" t="s">
        <v>30</v>
      </c>
      <c r="C1666" s="30" t="s">
        <v>54</v>
      </c>
      <c r="D1666" s="28">
        <f>YEAR(TableauFlitrage[[#This Row],[Date_d_adjudication]])</f>
        <v>2023</v>
      </c>
      <c r="E1666" s="28">
        <f t="shared" si="28"/>
        <v>6</v>
      </c>
      <c r="F1666" s="15">
        <v>45097</v>
      </c>
      <c r="G1666" s="28">
        <v>92</v>
      </c>
      <c r="H1666" s="15">
        <v>46195</v>
      </c>
      <c r="I1666">
        <v>61.666699999999999</v>
      </c>
      <c r="J1666">
        <v>10000</v>
      </c>
      <c r="K1666" s="28">
        <v>6</v>
      </c>
      <c r="L1666">
        <v>9.11</v>
      </c>
    </row>
    <row r="1667" spans="1:12" ht="15" customHeight="1" x14ac:dyDescent="0.2">
      <c r="A1667" s="28" t="s">
        <v>9</v>
      </c>
      <c r="B1667" s="2" t="s">
        <v>29</v>
      </c>
      <c r="C1667" s="30">
        <v>0.5</v>
      </c>
      <c r="D1667" s="28">
        <f>YEAR(TableauFlitrage[[#This Row],[Date_d_adjudication]])</f>
        <v>2023</v>
      </c>
      <c r="E1667" s="28">
        <f t="shared" si="28"/>
        <v>6</v>
      </c>
      <c r="F1667" s="15">
        <v>45098</v>
      </c>
      <c r="G1667" s="28">
        <v>96.925982000000005</v>
      </c>
      <c r="H1667" s="15">
        <v>45282</v>
      </c>
      <c r="I1667">
        <v>80.577799999999996</v>
      </c>
      <c r="J1667">
        <v>9000</v>
      </c>
      <c r="K1667" s="28">
        <v>6.2732999999999999</v>
      </c>
    </row>
    <row r="1668" spans="1:12" x14ac:dyDescent="0.2">
      <c r="A1668" s="28" t="s">
        <v>11</v>
      </c>
      <c r="B1668" s="2" t="s">
        <v>29</v>
      </c>
      <c r="C1668" s="30">
        <v>0.5</v>
      </c>
      <c r="D1668" s="28">
        <f>YEAR(TableauFlitrage[[#This Row],[Date_d_adjudication]])</f>
        <v>2023</v>
      </c>
      <c r="E1668" s="28">
        <f t="shared" si="28"/>
        <v>6</v>
      </c>
      <c r="F1668" s="15">
        <v>45098</v>
      </c>
      <c r="G1668" s="28">
        <v>96.713888999999995</v>
      </c>
      <c r="H1668" s="15">
        <v>45282</v>
      </c>
      <c r="I1668">
        <v>78.105000000000004</v>
      </c>
      <c r="J1668">
        <v>20000</v>
      </c>
      <c r="K1668" s="28">
        <v>6.7209000000000003</v>
      </c>
    </row>
    <row r="1669" spans="1:12" ht="15" customHeight="1" x14ac:dyDescent="0.2">
      <c r="A1669" s="28" t="s">
        <v>9</v>
      </c>
      <c r="B1669" t="s">
        <v>30</v>
      </c>
      <c r="C1669" s="30" t="s">
        <v>53</v>
      </c>
      <c r="D1669" s="28">
        <f>YEAR(TableauFlitrage[[#This Row],[Date_d_adjudication]])</f>
        <v>2023</v>
      </c>
      <c r="E1669" s="28">
        <f t="shared" si="28"/>
        <v>6</v>
      </c>
      <c r="F1669" s="15">
        <v>45098</v>
      </c>
      <c r="G1669" s="28">
        <v>93.524199999999993</v>
      </c>
      <c r="H1669" s="15">
        <v>45824</v>
      </c>
      <c r="I1669">
        <v>63</v>
      </c>
      <c r="J1669">
        <v>10000</v>
      </c>
      <c r="K1669" s="28">
        <v>5</v>
      </c>
      <c r="L1669">
        <v>8.59</v>
      </c>
    </row>
    <row r="1670" spans="1:12" ht="15" customHeight="1" x14ac:dyDescent="0.2">
      <c r="A1670" s="28" t="s">
        <v>9</v>
      </c>
      <c r="B1670" t="s">
        <v>30</v>
      </c>
      <c r="C1670" s="30" t="s">
        <v>54</v>
      </c>
      <c r="D1670" s="28">
        <f>YEAR(TableauFlitrage[[#This Row],[Date_d_adjudication]])</f>
        <v>2023</v>
      </c>
      <c r="E1670" s="28">
        <f t="shared" si="28"/>
        <v>6</v>
      </c>
      <c r="F1670" s="15">
        <v>45098</v>
      </c>
      <c r="G1670" s="28">
        <v>93.001000000000005</v>
      </c>
      <c r="H1670" s="15">
        <v>46140</v>
      </c>
      <c r="I1670">
        <v>52.533299999999997</v>
      </c>
      <c r="J1670">
        <v>15000</v>
      </c>
      <c r="K1670" s="28">
        <v>5.5</v>
      </c>
      <c r="L1670">
        <v>8.18</v>
      </c>
    </row>
    <row r="1671" spans="1:12" ht="15" customHeight="1" x14ac:dyDescent="0.2">
      <c r="A1671" s="28" t="s">
        <v>7</v>
      </c>
      <c r="B1671" t="s">
        <v>30</v>
      </c>
      <c r="C1671" s="30" t="s">
        <v>53</v>
      </c>
      <c r="D1671" s="28">
        <f>YEAR(TableauFlitrage[[#This Row],[Date_d_adjudication]])</f>
        <v>2023</v>
      </c>
      <c r="E1671" s="28">
        <f t="shared" si="28"/>
        <v>6</v>
      </c>
      <c r="F1671" s="15">
        <v>45103</v>
      </c>
      <c r="G1671" s="28">
        <v>98</v>
      </c>
      <c r="H1671" s="15">
        <v>45836</v>
      </c>
      <c r="I1671">
        <v>80</v>
      </c>
      <c r="J1671">
        <v>20000</v>
      </c>
      <c r="K1671" s="28">
        <v>4.75</v>
      </c>
      <c r="L1671">
        <v>5.82</v>
      </c>
    </row>
    <row r="1672" spans="1:12" ht="15" customHeight="1" x14ac:dyDescent="0.2">
      <c r="A1672" s="28" t="s">
        <v>14</v>
      </c>
      <c r="B1672" t="s">
        <v>30</v>
      </c>
      <c r="C1672" s="30" t="s">
        <v>54</v>
      </c>
      <c r="D1672" s="28">
        <f>YEAR(TableauFlitrage[[#This Row],[Date_d_adjudication]])</f>
        <v>2023</v>
      </c>
      <c r="E1672" s="28">
        <f t="shared" si="28"/>
        <v>6</v>
      </c>
      <c r="F1672" s="15">
        <v>45103</v>
      </c>
      <c r="G1672" s="28">
        <v>88.248599999999996</v>
      </c>
      <c r="H1672" s="15">
        <v>46187</v>
      </c>
      <c r="I1672">
        <v>100</v>
      </c>
      <c r="J1672">
        <v>5000</v>
      </c>
      <c r="K1672" s="28">
        <v>6.5</v>
      </c>
      <c r="L1672">
        <v>11.22</v>
      </c>
    </row>
    <row r="1673" spans="1:12" ht="15" customHeight="1" x14ac:dyDescent="0.2">
      <c r="A1673" s="28" t="s">
        <v>8</v>
      </c>
      <c r="B1673" s="2" t="s">
        <v>29</v>
      </c>
      <c r="C1673" s="30">
        <v>0.5</v>
      </c>
      <c r="D1673" s="28">
        <f>YEAR(TableauFlitrage[[#This Row],[Date_d_adjudication]])</f>
        <v>2023</v>
      </c>
      <c r="E1673" s="28">
        <f t="shared" si="28"/>
        <v>6</v>
      </c>
      <c r="F1673" s="15">
        <v>45104</v>
      </c>
      <c r="G1673" s="28">
        <v>96.714686999999998</v>
      </c>
      <c r="H1673" s="15">
        <v>45288</v>
      </c>
      <c r="I1673">
        <v>93.62</v>
      </c>
      <c r="J1673">
        <v>10000</v>
      </c>
      <c r="K1673" s="28">
        <v>6.7191999999999998</v>
      </c>
    </row>
    <row r="1674" spans="1:12" x14ac:dyDescent="0.2">
      <c r="A1674" s="28" t="s">
        <v>8</v>
      </c>
      <c r="B1674" t="s">
        <v>30</v>
      </c>
      <c r="C1674" s="30" t="s">
        <v>55</v>
      </c>
      <c r="D1674" s="28">
        <f>YEAR(TableauFlitrage[[#This Row],[Date_d_adjudication]])</f>
        <v>2023</v>
      </c>
      <c r="E1674" s="28">
        <f t="shared" si="28"/>
        <v>6</v>
      </c>
      <c r="F1674" s="15">
        <v>45104</v>
      </c>
      <c r="G1674" s="28">
        <v>90</v>
      </c>
      <c r="H1674" s="15">
        <v>46933</v>
      </c>
      <c r="I1674">
        <v>74.5</v>
      </c>
      <c r="J1674">
        <v>10000</v>
      </c>
      <c r="K1674" s="28">
        <v>6.5</v>
      </c>
      <c r="L1674">
        <v>9.0299999999999994</v>
      </c>
    </row>
    <row r="1675" spans="1:12" ht="15" customHeight="1" x14ac:dyDescent="0.2">
      <c r="A1675" s="28" t="s">
        <v>8</v>
      </c>
      <c r="B1675" t="s">
        <v>30</v>
      </c>
      <c r="C1675" s="30" t="s">
        <v>56</v>
      </c>
      <c r="D1675" s="28">
        <f>YEAR(TableauFlitrage[[#This Row],[Date_d_adjudication]])</f>
        <v>2023</v>
      </c>
      <c r="E1675" s="28">
        <f t="shared" si="28"/>
        <v>6</v>
      </c>
      <c r="F1675" s="15">
        <v>45104</v>
      </c>
      <c r="G1675" s="28">
        <v>91.05</v>
      </c>
      <c r="H1675" s="15">
        <v>46567</v>
      </c>
      <c r="I1675">
        <v>105</v>
      </c>
      <c r="J1675">
        <v>5000</v>
      </c>
      <c r="K1675" s="28">
        <v>6.3</v>
      </c>
      <c r="L1675">
        <v>9.02</v>
      </c>
    </row>
    <row r="1676" spans="1:12" ht="15" customHeight="1" x14ac:dyDescent="0.2">
      <c r="A1676" s="28" t="s">
        <v>8</v>
      </c>
      <c r="B1676" t="s">
        <v>30</v>
      </c>
      <c r="C1676" s="30" t="s">
        <v>54</v>
      </c>
      <c r="D1676" s="28">
        <f>YEAR(TableauFlitrage[[#This Row],[Date_d_adjudication]])</f>
        <v>2023</v>
      </c>
      <c r="E1676" s="28">
        <f t="shared" si="28"/>
        <v>6</v>
      </c>
      <c r="F1676" s="15">
        <v>45104</v>
      </c>
      <c r="G1676" s="28">
        <v>92.116</v>
      </c>
      <c r="H1676" s="15">
        <v>46195</v>
      </c>
      <c r="I1676">
        <v>82.6</v>
      </c>
      <c r="J1676">
        <v>10000</v>
      </c>
      <c r="K1676" s="28">
        <v>6</v>
      </c>
      <c r="L1676">
        <v>9.06</v>
      </c>
    </row>
    <row r="1677" spans="1:12" x14ac:dyDescent="0.2">
      <c r="A1677" s="28" t="s">
        <v>9</v>
      </c>
      <c r="B1677" s="2" t="s">
        <v>29</v>
      </c>
      <c r="C1677" s="30">
        <v>0.5</v>
      </c>
      <c r="D1677" s="28">
        <f>YEAR(TableauFlitrage[[#This Row],[Date_d_adjudication]])</f>
        <v>2023</v>
      </c>
      <c r="E1677" s="28">
        <f t="shared" si="28"/>
        <v>6</v>
      </c>
      <c r="F1677" s="15">
        <v>45105</v>
      </c>
      <c r="G1677" s="28">
        <v>96.896905000000004</v>
      </c>
      <c r="H1677" s="15">
        <v>45289</v>
      </c>
      <c r="I1677">
        <v>58.8</v>
      </c>
      <c r="J1677">
        <v>10000</v>
      </c>
      <c r="K1677" s="28">
        <v>6.3346</v>
      </c>
    </row>
    <row r="1678" spans="1:12" x14ac:dyDescent="0.2">
      <c r="A1678" s="28" t="s">
        <v>11</v>
      </c>
      <c r="B1678" t="s">
        <v>30</v>
      </c>
      <c r="C1678" s="30" t="s">
        <v>53</v>
      </c>
      <c r="D1678" s="28">
        <f>YEAR(TableauFlitrage[[#This Row],[Date_d_adjudication]])</f>
        <v>2023</v>
      </c>
      <c r="E1678" s="28">
        <f t="shared" si="28"/>
        <v>6</v>
      </c>
      <c r="F1678" s="15">
        <v>45105</v>
      </c>
      <c r="G1678" s="28">
        <v>91.814499999999995</v>
      </c>
      <c r="H1678" s="15">
        <v>45838</v>
      </c>
      <c r="I1678">
        <v>49.6</v>
      </c>
      <c r="J1678">
        <v>15000</v>
      </c>
      <c r="K1678" s="28">
        <v>6.5</v>
      </c>
      <c r="L1678">
        <v>11.18</v>
      </c>
    </row>
    <row r="1679" spans="1:12" x14ac:dyDescent="0.2">
      <c r="A1679" s="28" t="s">
        <v>7</v>
      </c>
      <c r="B1679" s="2" t="s">
        <v>29</v>
      </c>
      <c r="C1679" s="30">
        <v>0.5</v>
      </c>
      <c r="D1679" s="28">
        <f>YEAR(TableauFlitrage[[#This Row],[Date_d_adjudication]])</f>
        <v>2023</v>
      </c>
      <c r="E1679" s="28">
        <f t="shared" si="28"/>
        <v>7</v>
      </c>
      <c r="F1679" s="15">
        <v>45110</v>
      </c>
      <c r="G1679" s="28">
        <v>97.534153000000003</v>
      </c>
      <c r="H1679" s="15">
        <v>45294</v>
      </c>
      <c r="I1679">
        <v>105</v>
      </c>
      <c r="J1679">
        <v>20000</v>
      </c>
      <c r="K1679" s="28">
        <v>5.0007999999999999</v>
      </c>
    </row>
    <row r="1680" spans="1:12" ht="15" customHeight="1" x14ac:dyDescent="0.2">
      <c r="A1680" s="28" t="s">
        <v>8</v>
      </c>
      <c r="B1680" s="2" t="s">
        <v>29</v>
      </c>
      <c r="C1680" s="30">
        <v>0.25</v>
      </c>
      <c r="D1680" s="28">
        <f>YEAR(TableauFlitrage[[#This Row],[Date_d_adjudication]])</f>
        <v>2023</v>
      </c>
      <c r="E1680" s="28">
        <f t="shared" si="28"/>
        <v>7</v>
      </c>
      <c r="F1680" s="15">
        <v>45111</v>
      </c>
      <c r="G1680" s="28">
        <v>98.427660000000003</v>
      </c>
      <c r="H1680" s="15">
        <v>45204</v>
      </c>
      <c r="I1680">
        <v>100.83</v>
      </c>
      <c r="J1680">
        <v>10000</v>
      </c>
      <c r="K1680" s="28">
        <v>6.3196000000000003</v>
      </c>
    </row>
    <row r="1681" spans="1:12" ht="15" customHeight="1" x14ac:dyDescent="0.2">
      <c r="A1681" s="28" t="s">
        <v>9</v>
      </c>
      <c r="B1681" s="2" t="s">
        <v>29</v>
      </c>
      <c r="C1681" s="30">
        <v>1</v>
      </c>
      <c r="D1681" s="28">
        <f>YEAR(TableauFlitrage[[#This Row],[Date_d_adjudication]])</f>
        <v>2023</v>
      </c>
      <c r="E1681" s="28">
        <f t="shared" si="28"/>
        <v>7</v>
      </c>
      <c r="F1681" s="15">
        <v>45112</v>
      </c>
      <c r="G1681" s="28">
        <v>93.343530999999999</v>
      </c>
      <c r="H1681" s="15">
        <v>45478</v>
      </c>
      <c r="I1681">
        <v>69.290000000000006</v>
      </c>
      <c r="J1681">
        <v>10000</v>
      </c>
      <c r="K1681" s="28">
        <v>7.0528000000000004</v>
      </c>
    </row>
    <row r="1682" spans="1:12" ht="15" customHeight="1" x14ac:dyDescent="0.2">
      <c r="A1682" s="28" t="s">
        <v>9</v>
      </c>
      <c r="B1682" t="s">
        <v>30</v>
      </c>
      <c r="C1682" s="30" t="s">
        <v>56</v>
      </c>
      <c r="D1682" s="28">
        <f>YEAR(TableauFlitrage[[#This Row],[Date_d_adjudication]])</f>
        <v>2023</v>
      </c>
      <c r="E1682" s="28">
        <f t="shared" si="28"/>
        <v>7</v>
      </c>
      <c r="F1682" s="15">
        <v>45112</v>
      </c>
      <c r="G1682" s="28">
        <v>93.312399999999997</v>
      </c>
      <c r="H1682" s="15">
        <v>46365</v>
      </c>
      <c r="I1682">
        <v>6.8</v>
      </c>
      <c r="J1682">
        <v>17500</v>
      </c>
      <c r="K1682" s="28">
        <v>5.75</v>
      </c>
      <c r="L1682">
        <v>8.32</v>
      </c>
    </row>
    <row r="1683" spans="1:12" ht="15" customHeight="1" x14ac:dyDescent="0.2">
      <c r="A1683" s="28" t="s">
        <v>7</v>
      </c>
      <c r="B1683" s="2" t="s">
        <v>29</v>
      </c>
      <c r="C1683" s="30">
        <v>0.5</v>
      </c>
      <c r="D1683" s="28">
        <f>YEAR(TableauFlitrage[[#This Row],[Date_d_adjudication]])</f>
        <v>2023</v>
      </c>
      <c r="E1683" s="28">
        <f t="shared" si="28"/>
        <v>7</v>
      </c>
      <c r="F1683" s="15">
        <v>45117</v>
      </c>
      <c r="G1683" s="28">
        <v>97.476941999999994</v>
      </c>
      <c r="H1683" s="15">
        <v>45301</v>
      </c>
      <c r="I1683">
        <v>109.11</v>
      </c>
      <c r="J1683">
        <v>50000</v>
      </c>
      <c r="K1683" s="28">
        <v>5.1197999999999997</v>
      </c>
    </row>
    <row r="1684" spans="1:12" x14ac:dyDescent="0.2">
      <c r="A1684" s="28" t="s">
        <v>8</v>
      </c>
      <c r="B1684" s="2" t="s">
        <v>29</v>
      </c>
      <c r="C1684" s="30">
        <v>0.25</v>
      </c>
      <c r="D1684" s="28">
        <f>YEAR(TableauFlitrage[[#This Row],[Date_d_adjudication]])</f>
        <v>2023</v>
      </c>
      <c r="E1684" s="28">
        <f t="shared" si="28"/>
        <v>7</v>
      </c>
      <c r="F1684" s="15">
        <v>45118</v>
      </c>
      <c r="G1684" s="28">
        <v>98.458214999999996</v>
      </c>
      <c r="H1684" s="15">
        <v>45211</v>
      </c>
      <c r="I1684">
        <v>111.34</v>
      </c>
      <c r="J1684">
        <v>10000</v>
      </c>
      <c r="K1684" s="28">
        <v>6.1948999999999996</v>
      </c>
    </row>
    <row r="1685" spans="1:12" x14ac:dyDescent="0.2">
      <c r="A1685" s="28" t="s">
        <v>8</v>
      </c>
      <c r="B1685" s="2" t="s">
        <v>29</v>
      </c>
      <c r="C1685" s="30">
        <v>0.5</v>
      </c>
      <c r="D1685" s="28">
        <f>YEAR(TableauFlitrage[[#This Row],[Date_d_adjudication]])</f>
        <v>2023</v>
      </c>
      <c r="E1685" s="28">
        <f t="shared" si="28"/>
        <v>7</v>
      </c>
      <c r="F1685" s="15">
        <v>45118</v>
      </c>
      <c r="G1685" s="28">
        <v>96.791830000000004</v>
      </c>
      <c r="H1685" s="15">
        <v>45302</v>
      </c>
      <c r="I1685">
        <v>77.708299999999994</v>
      </c>
      <c r="J1685">
        <v>12000</v>
      </c>
      <c r="K1685" s="28">
        <v>6.5561999999999996</v>
      </c>
    </row>
    <row r="1686" spans="1:12" x14ac:dyDescent="0.2">
      <c r="A1686" s="28" t="s">
        <v>9</v>
      </c>
      <c r="B1686" s="2" t="s">
        <v>29</v>
      </c>
      <c r="C1686" s="30">
        <v>0.5</v>
      </c>
      <c r="D1686" s="28">
        <f>YEAR(TableauFlitrage[[#This Row],[Date_d_adjudication]])</f>
        <v>2023</v>
      </c>
      <c r="E1686" s="28">
        <f t="shared" si="28"/>
        <v>7</v>
      </c>
      <c r="F1686" s="15">
        <v>45119</v>
      </c>
      <c r="G1686" s="28">
        <v>96.955282999999994</v>
      </c>
      <c r="H1686" s="15">
        <v>45303</v>
      </c>
      <c r="I1686">
        <v>130.91579999999999</v>
      </c>
      <c r="J1686">
        <v>9500</v>
      </c>
      <c r="K1686" s="28">
        <v>6.2115999999999998</v>
      </c>
    </row>
    <row r="1687" spans="1:12" ht="15" customHeight="1" x14ac:dyDescent="0.2">
      <c r="A1687" s="28" t="s">
        <v>11</v>
      </c>
      <c r="B1687" t="s">
        <v>30</v>
      </c>
      <c r="C1687" s="30" t="s">
        <v>53</v>
      </c>
      <c r="D1687" s="28">
        <f>YEAR(TableauFlitrage[[#This Row],[Date_d_adjudication]])</f>
        <v>2023</v>
      </c>
      <c r="E1687" s="28">
        <f t="shared" si="28"/>
        <v>7</v>
      </c>
      <c r="F1687" s="15">
        <v>45119</v>
      </c>
      <c r="G1687" s="28">
        <v>90.083399999999997</v>
      </c>
      <c r="H1687" s="15">
        <v>45852</v>
      </c>
      <c r="I1687">
        <v>45.463700000000003</v>
      </c>
      <c r="J1687">
        <v>15000</v>
      </c>
      <c r="K1687" s="28">
        <v>6.5</v>
      </c>
      <c r="L1687">
        <v>12.24</v>
      </c>
    </row>
    <row r="1688" spans="1:12" ht="15" customHeight="1" x14ac:dyDescent="0.2">
      <c r="A1688" s="28" t="s">
        <v>7</v>
      </c>
      <c r="B1688" s="2" t="s">
        <v>29</v>
      </c>
      <c r="C1688" s="30">
        <v>0.25</v>
      </c>
      <c r="D1688" s="28">
        <f>YEAR(TableauFlitrage[[#This Row],[Date_d_adjudication]])</f>
        <v>2023</v>
      </c>
      <c r="E1688" s="28">
        <f t="shared" si="28"/>
        <v>7</v>
      </c>
      <c r="F1688" s="15">
        <v>45124</v>
      </c>
      <c r="G1688" s="28">
        <v>98.763917000000006</v>
      </c>
      <c r="H1688" s="15">
        <v>45217</v>
      </c>
      <c r="I1688">
        <v>80</v>
      </c>
      <c r="J1688">
        <v>10000</v>
      </c>
      <c r="K1688" s="28">
        <v>4.9512</v>
      </c>
    </row>
    <row r="1689" spans="1:12" ht="15" customHeight="1" x14ac:dyDescent="0.2">
      <c r="A1689" s="28" t="s">
        <v>8</v>
      </c>
      <c r="B1689" s="2" t="s">
        <v>29</v>
      </c>
      <c r="C1689" s="30">
        <v>0.25</v>
      </c>
      <c r="D1689" s="28">
        <f>YEAR(TableauFlitrage[[#This Row],[Date_d_adjudication]])</f>
        <v>2023</v>
      </c>
      <c r="E1689" s="28">
        <f t="shared" si="28"/>
        <v>7</v>
      </c>
      <c r="F1689" s="15">
        <v>45125</v>
      </c>
      <c r="G1689" s="28">
        <v>98.410634000000002</v>
      </c>
      <c r="H1689" s="15">
        <v>45218</v>
      </c>
      <c r="I1689">
        <v>76.215000000000003</v>
      </c>
      <c r="J1689">
        <v>20000</v>
      </c>
      <c r="K1689" s="28">
        <v>6.3891</v>
      </c>
    </row>
    <row r="1690" spans="1:12" ht="15" customHeight="1" x14ac:dyDescent="0.2">
      <c r="A1690" s="28" t="s">
        <v>8</v>
      </c>
      <c r="B1690" s="2" t="s">
        <v>29</v>
      </c>
      <c r="C1690" s="30">
        <v>0.5</v>
      </c>
      <c r="D1690" s="28">
        <f>YEAR(TableauFlitrage[[#This Row],[Date_d_adjudication]])</f>
        <v>2023</v>
      </c>
      <c r="E1690" s="28">
        <f t="shared" si="28"/>
        <v>7</v>
      </c>
      <c r="F1690" s="15">
        <v>45125</v>
      </c>
      <c r="G1690" s="28">
        <v>96.685451</v>
      </c>
      <c r="H1690" s="15">
        <v>45309</v>
      </c>
      <c r="I1690">
        <v>101.2333</v>
      </c>
      <c r="J1690">
        <v>12000</v>
      </c>
      <c r="K1690" s="28">
        <v>6.7809999999999997</v>
      </c>
    </row>
    <row r="1691" spans="1:12" ht="15" customHeight="1" x14ac:dyDescent="0.2">
      <c r="A1691" s="28" t="s">
        <v>8</v>
      </c>
      <c r="B1691" s="2" t="s">
        <v>29</v>
      </c>
      <c r="C1691" s="30">
        <v>1</v>
      </c>
      <c r="D1691" s="28">
        <f>YEAR(TableauFlitrage[[#This Row],[Date_d_adjudication]])</f>
        <v>2023</v>
      </c>
      <c r="E1691" s="28">
        <f t="shared" si="28"/>
        <v>7</v>
      </c>
      <c r="F1691" s="15">
        <v>45125</v>
      </c>
      <c r="G1691" s="28">
        <v>93.509220999999997</v>
      </c>
      <c r="H1691" s="15">
        <v>45491</v>
      </c>
      <c r="I1691">
        <v>25.14</v>
      </c>
      <c r="J1691">
        <v>10000</v>
      </c>
      <c r="K1691" s="28">
        <v>6.8650000000000002</v>
      </c>
    </row>
    <row r="1692" spans="1:12" ht="15" customHeight="1" x14ac:dyDescent="0.2">
      <c r="A1692" s="28" t="s">
        <v>10</v>
      </c>
      <c r="B1692" s="2" t="s">
        <v>29</v>
      </c>
      <c r="C1692" s="30">
        <v>1</v>
      </c>
      <c r="D1692" s="28">
        <f>YEAR(TableauFlitrage[[#This Row],[Date_d_adjudication]])</f>
        <v>2023</v>
      </c>
      <c r="E1692" s="28">
        <f t="shared" si="28"/>
        <v>7</v>
      </c>
      <c r="F1692" s="15">
        <v>45125</v>
      </c>
      <c r="G1692" s="28">
        <v>96.839648999999994</v>
      </c>
      <c r="H1692" s="15">
        <v>45309</v>
      </c>
      <c r="I1692">
        <v>10.199999999999999</v>
      </c>
      <c r="J1692">
        <v>20000</v>
      </c>
      <c r="K1692" s="28">
        <v>6.4553000000000003</v>
      </c>
    </row>
    <row r="1693" spans="1:12" ht="15" customHeight="1" x14ac:dyDescent="0.2">
      <c r="A1693" s="28" t="s">
        <v>9</v>
      </c>
      <c r="B1693" s="2" t="s">
        <v>29</v>
      </c>
      <c r="C1693" s="30">
        <v>0.5</v>
      </c>
      <c r="D1693" s="28">
        <f>YEAR(TableauFlitrage[[#This Row],[Date_d_adjudication]])</f>
        <v>2023</v>
      </c>
      <c r="E1693" s="28">
        <f t="shared" si="28"/>
        <v>7</v>
      </c>
      <c r="F1693" s="15">
        <v>45126</v>
      </c>
      <c r="G1693" s="28">
        <v>96.902927000000005</v>
      </c>
      <c r="H1693" s="15">
        <v>45310</v>
      </c>
      <c r="I1693">
        <v>115.2333</v>
      </c>
      <c r="J1693">
        <v>9000</v>
      </c>
      <c r="K1693" s="28">
        <v>6.3219000000000003</v>
      </c>
    </row>
    <row r="1694" spans="1:12" x14ac:dyDescent="0.2">
      <c r="A1694" s="28" t="s">
        <v>8</v>
      </c>
      <c r="B1694" s="2" t="s">
        <v>29</v>
      </c>
      <c r="C1694" s="30">
        <v>0.25</v>
      </c>
      <c r="D1694" s="28">
        <f>YEAR(TableauFlitrage[[#This Row],[Date_d_adjudication]])</f>
        <v>2023</v>
      </c>
      <c r="E1694" s="28">
        <f t="shared" si="28"/>
        <v>7</v>
      </c>
      <c r="F1694" s="15">
        <v>45132</v>
      </c>
      <c r="G1694" s="28">
        <v>98.443050999999997</v>
      </c>
      <c r="H1694" s="15">
        <v>45225</v>
      </c>
      <c r="I1694">
        <v>101.0167</v>
      </c>
      <c r="J1694">
        <v>12000</v>
      </c>
      <c r="K1694" s="28">
        <v>6.2568000000000001</v>
      </c>
    </row>
    <row r="1695" spans="1:12" ht="15" customHeight="1" x14ac:dyDescent="0.2">
      <c r="A1695" s="28" t="s">
        <v>8</v>
      </c>
      <c r="B1695" s="2" t="s">
        <v>29</v>
      </c>
      <c r="C1695" s="30">
        <v>0.5</v>
      </c>
      <c r="D1695" s="28">
        <f>YEAR(TableauFlitrage[[#This Row],[Date_d_adjudication]])</f>
        <v>2023</v>
      </c>
      <c r="E1695" s="28">
        <f t="shared" si="28"/>
        <v>7</v>
      </c>
      <c r="F1695" s="15">
        <v>45132</v>
      </c>
      <c r="G1695" s="28">
        <v>96.737352999999999</v>
      </c>
      <c r="H1695" s="15">
        <v>45316</v>
      </c>
      <c r="I1695">
        <v>31.7182</v>
      </c>
      <c r="J1695">
        <v>11000</v>
      </c>
      <c r="K1695" s="28">
        <v>6.6711999999999998</v>
      </c>
    </row>
    <row r="1696" spans="1:12" ht="15" customHeight="1" x14ac:dyDescent="0.2">
      <c r="A1696" s="28" t="s">
        <v>9</v>
      </c>
      <c r="B1696" s="2" t="s">
        <v>29</v>
      </c>
      <c r="C1696" s="30">
        <v>0.25</v>
      </c>
      <c r="D1696" s="28">
        <f>YEAR(TableauFlitrage[[#This Row],[Date_d_adjudication]])</f>
        <v>2023</v>
      </c>
      <c r="E1696" s="28">
        <f t="shared" si="28"/>
        <v>7</v>
      </c>
      <c r="F1696" s="15">
        <v>45133</v>
      </c>
      <c r="G1696" s="28">
        <v>98.492711999999997</v>
      </c>
      <c r="H1696" s="15">
        <v>45226</v>
      </c>
      <c r="I1696">
        <v>51.842100000000002</v>
      </c>
      <c r="J1696">
        <v>9500</v>
      </c>
      <c r="K1696" s="28">
        <v>6.0541</v>
      </c>
    </row>
    <row r="1697" spans="1:12" ht="15" customHeight="1" x14ac:dyDescent="0.2">
      <c r="A1697" s="28" t="s">
        <v>9</v>
      </c>
      <c r="B1697" s="2" t="s">
        <v>29</v>
      </c>
      <c r="C1697" s="30">
        <v>1</v>
      </c>
      <c r="D1697" s="28">
        <f>YEAR(TableauFlitrage[[#This Row],[Date_d_adjudication]])</f>
        <v>2023</v>
      </c>
      <c r="E1697" s="28">
        <f t="shared" si="28"/>
        <v>7</v>
      </c>
      <c r="F1697" s="15">
        <v>45133</v>
      </c>
      <c r="G1697" s="28">
        <v>93.174999999999997</v>
      </c>
      <c r="H1697" s="15">
        <v>45499</v>
      </c>
      <c r="I1697">
        <v>86.666700000000006</v>
      </c>
      <c r="J1697">
        <v>15000</v>
      </c>
      <c r="K1697" s="28">
        <v>7.2443999999999997</v>
      </c>
    </row>
    <row r="1698" spans="1:12" ht="15" customHeight="1" x14ac:dyDescent="0.2">
      <c r="A1698" s="28" t="s">
        <v>9</v>
      </c>
      <c r="B1698" s="2" t="s">
        <v>29</v>
      </c>
      <c r="C1698" s="30">
        <v>0.5</v>
      </c>
      <c r="D1698" s="28">
        <f>YEAR(TableauFlitrage[[#This Row],[Date_d_adjudication]])</f>
        <v>2023</v>
      </c>
      <c r="E1698" s="28">
        <f t="shared" si="28"/>
        <v>7</v>
      </c>
      <c r="F1698" s="15">
        <v>45133</v>
      </c>
      <c r="G1698" s="28">
        <v>96.840277999999998</v>
      </c>
      <c r="H1698" s="15">
        <v>45317</v>
      </c>
      <c r="I1698">
        <v>86.666700000000006</v>
      </c>
      <c r="J1698">
        <v>15000</v>
      </c>
      <c r="K1698" s="28">
        <v>6.4539</v>
      </c>
    </row>
    <row r="1699" spans="1:12" x14ac:dyDescent="0.2">
      <c r="A1699" s="28" t="s">
        <v>9</v>
      </c>
      <c r="B1699" t="s">
        <v>30</v>
      </c>
      <c r="C1699" s="30" t="s">
        <v>54</v>
      </c>
      <c r="D1699" s="28">
        <f>YEAR(TableauFlitrage[[#This Row],[Date_d_adjudication]])</f>
        <v>2023</v>
      </c>
      <c r="E1699" s="28">
        <f t="shared" si="28"/>
        <v>7</v>
      </c>
      <c r="F1699" s="15">
        <v>45133</v>
      </c>
      <c r="G1699" s="28">
        <v>90.289400000000001</v>
      </c>
      <c r="H1699" s="15">
        <v>46231</v>
      </c>
      <c r="I1699">
        <v>95.995699999999999</v>
      </c>
      <c r="J1699">
        <v>45000</v>
      </c>
      <c r="K1699" s="28">
        <v>5.5</v>
      </c>
      <c r="L1699">
        <v>9.2799999999999994</v>
      </c>
    </row>
    <row r="1700" spans="1:12" ht="15" customHeight="1" x14ac:dyDescent="0.2">
      <c r="A1700" s="28" t="s">
        <v>9</v>
      </c>
      <c r="B1700" t="s">
        <v>30</v>
      </c>
      <c r="C1700" s="30" t="s">
        <v>55</v>
      </c>
      <c r="D1700" s="28">
        <f>YEAR(TableauFlitrage[[#This Row],[Date_d_adjudication]])</f>
        <v>2023</v>
      </c>
      <c r="E1700" s="28">
        <f t="shared" si="28"/>
        <v>7</v>
      </c>
      <c r="F1700" s="15">
        <v>45133</v>
      </c>
      <c r="G1700" s="28">
        <v>92.065600000000003</v>
      </c>
      <c r="H1700" s="15">
        <v>46850</v>
      </c>
      <c r="I1700">
        <v>11</v>
      </c>
      <c r="J1700">
        <v>10000</v>
      </c>
      <c r="K1700" s="28">
        <v>6.75</v>
      </c>
      <c r="L1700">
        <v>8.74</v>
      </c>
    </row>
    <row r="1701" spans="1:12" ht="15" customHeight="1" x14ac:dyDescent="0.2">
      <c r="A1701" s="28" t="s">
        <v>10</v>
      </c>
      <c r="B1701" s="2" t="s">
        <v>29</v>
      </c>
      <c r="C1701" s="30">
        <v>0.5</v>
      </c>
      <c r="D1701" s="28">
        <f>YEAR(TableauFlitrage[[#This Row],[Date_d_adjudication]])</f>
        <v>2023</v>
      </c>
      <c r="E1701" s="28">
        <f t="shared" si="28"/>
        <v>8</v>
      </c>
      <c r="F1701" s="15">
        <v>45139</v>
      </c>
      <c r="G1701" s="28">
        <v>96.777749</v>
      </c>
      <c r="H1701" s="15">
        <v>45323</v>
      </c>
      <c r="I1701">
        <v>111.2867</v>
      </c>
      <c r="J1701">
        <v>15000</v>
      </c>
      <c r="K1701" s="28">
        <v>6.5858999999999996</v>
      </c>
    </row>
    <row r="1702" spans="1:12" x14ac:dyDescent="0.2">
      <c r="A1702" s="28" t="s">
        <v>9</v>
      </c>
      <c r="B1702" s="2" t="s">
        <v>29</v>
      </c>
      <c r="C1702" s="30">
        <v>0.25</v>
      </c>
      <c r="D1702" s="28">
        <f>YEAR(TableauFlitrage[[#This Row],[Date_d_adjudication]])</f>
        <v>2023</v>
      </c>
      <c r="E1702" s="28">
        <f t="shared" si="28"/>
        <v>8</v>
      </c>
      <c r="F1702" s="15">
        <v>45140</v>
      </c>
      <c r="G1702" s="28">
        <v>98.511722000000006</v>
      </c>
      <c r="H1702" s="15">
        <v>45233</v>
      </c>
      <c r="I1702">
        <v>172.16839999999999</v>
      </c>
      <c r="J1702">
        <v>9500</v>
      </c>
      <c r="K1702" s="28">
        <v>5.9766000000000004</v>
      </c>
    </row>
    <row r="1703" spans="1:12" ht="15" customHeight="1" x14ac:dyDescent="0.2">
      <c r="A1703" s="28" t="s">
        <v>11</v>
      </c>
      <c r="B1703" s="2" t="s">
        <v>29</v>
      </c>
      <c r="C1703" s="30">
        <v>0.5</v>
      </c>
      <c r="D1703" s="28">
        <f>YEAR(TableauFlitrage[[#This Row],[Date_d_adjudication]])</f>
        <v>2023</v>
      </c>
      <c r="E1703" s="28">
        <f t="shared" si="28"/>
        <v>8</v>
      </c>
      <c r="F1703" s="15">
        <v>45140</v>
      </c>
      <c r="G1703" s="28">
        <v>96.713888999999995</v>
      </c>
      <c r="H1703" s="15">
        <v>45324</v>
      </c>
      <c r="I1703">
        <v>62.958300000000001</v>
      </c>
      <c r="J1703">
        <v>12000</v>
      </c>
      <c r="K1703" s="28">
        <v>6.7209000000000003</v>
      </c>
    </row>
    <row r="1704" spans="1:12" ht="15" customHeight="1" x14ac:dyDescent="0.2">
      <c r="A1704" s="28" t="s">
        <v>11</v>
      </c>
      <c r="B1704" t="s">
        <v>30</v>
      </c>
      <c r="C1704" s="30" t="s">
        <v>54</v>
      </c>
      <c r="D1704" s="28">
        <f>YEAR(TableauFlitrage[[#This Row],[Date_d_adjudication]])</f>
        <v>2023</v>
      </c>
      <c r="E1704" s="28">
        <f t="shared" si="28"/>
        <v>8</v>
      </c>
      <c r="F1704" s="15">
        <v>45140</v>
      </c>
      <c r="G1704" s="28">
        <v>90.026600000000002</v>
      </c>
      <c r="H1704" s="15">
        <v>46238</v>
      </c>
      <c r="I1704">
        <v>44.588000000000001</v>
      </c>
      <c r="J1704">
        <v>24000</v>
      </c>
      <c r="K1704" s="28">
        <v>6.5</v>
      </c>
      <c r="L1704">
        <v>10.46</v>
      </c>
    </row>
    <row r="1705" spans="1:12" x14ac:dyDescent="0.2">
      <c r="A1705" s="28" t="s">
        <v>7</v>
      </c>
      <c r="B1705" s="2" t="s">
        <v>29</v>
      </c>
      <c r="C1705" s="30">
        <v>0.5</v>
      </c>
      <c r="D1705" s="28">
        <f>YEAR(TableauFlitrage[[#This Row],[Date_d_adjudication]])</f>
        <v>2023</v>
      </c>
      <c r="E1705" s="28">
        <f t="shared" si="28"/>
        <v>8</v>
      </c>
      <c r="F1705" s="15">
        <v>45145</v>
      </c>
      <c r="G1705" s="28">
        <v>97.530966000000006</v>
      </c>
      <c r="H1705" s="15">
        <v>45329</v>
      </c>
      <c r="I1705">
        <v>110</v>
      </c>
      <c r="J1705">
        <v>15000</v>
      </c>
      <c r="K1705" s="28">
        <v>5.0073999999999996</v>
      </c>
    </row>
    <row r="1706" spans="1:12" ht="15" customHeight="1" x14ac:dyDescent="0.2">
      <c r="A1706" s="28" t="s">
        <v>8</v>
      </c>
      <c r="B1706" s="2" t="s">
        <v>29</v>
      </c>
      <c r="C1706" s="30">
        <v>0.25</v>
      </c>
      <c r="D1706" s="28">
        <f>YEAR(TableauFlitrage[[#This Row],[Date_d_adjudication]])</f>
        <v>2023</v>
      </c>
      <c r="E1706" s="28">
        <f t="shared" si="28"/>
        <v>8</v>
      </c>
      <c r="F1706" s="15">
        <v>45146</v>
      </c>
      <c r="G1706" s="28">
        <v>98.417083000000005</v>
      </c>
      <c r="H1706" s="15">
        <v>45239</v>
      </c>
      <c r="I1706">
        <v>66.073300000000003</v>
      </c>
      <c r="J1706">
        <v>30000</v>
      </c>
      <c r="K1706" s="28">
        <v>6.3628</v>
      </c>
    </row>
    <row r="1707" spans="1:12" ht="15" customHeight="1" x14ac:dyDescent="0.2">
      <c r="A1707" s="28" t="s">
        <v>8</v>
      </c>
      <c r="B1707" s="2" t="s">
        <v>29</v>
      </c>
      <c r="C1707" s="30">
        <v>0.5</v>
      </c>
      <c r="D1707" s="28">
        <f>YEAR(TableauFlitrage[[#This Row],[Date_d_adjudication]])</f>
        <v>2023</v>
      </c>
      <c r="E1707" s="28">
        <f t="shared" si="28"/>
        <v>8</v>
      </c>
      <c r="F1707" s="15">
        <v>45146</v>
      </c>
      <c r="G1707" s="28">
        <v>96.718746999999993</v>
      </c>
      <c r="H1707" s="15">
        <v>45330</v>
      </c>
      <c r="I1707">
        <v>116.37</v>
      </c>
      <c r="J1707">
        <v>10000</v>
      </c>
      <c r="K1707" s="28">
        <v>6.7106000000000003</v>
      </c>
    </row>
    <row r="1708" spans="1:12" ht="15" customHeight="1" x14ac:dyDescent="0.2">
      <c r="A1708" s="28" t="s">
        <v>8</v>
      </c>
      <c r="B1708" s="2" t="s">
        <v>29</v>
      </c>
      <c r="C1708" s="30">
        <v>1</v>
      </c>
      <c r="D1708" s="28">
        <f>YEAR(TableauFlitrage[[#This Row],[Date_d_adjudication]])</f>
        <v>2023</v>
      </c>
      <c r="E1708" s="28">
        <f t="shared" si="28"/>
        <v>8</v>
      </c>
      <c r="F1708" s="15">
        <v>45146</v>
      </c>
      <c r="G1708" s="28">
        <v>93.809348999999997</v>
      </c>
      <c r="H1708" s="15">
        <v>45512</v>
      </c>
      <c r="I1708">
        <v>11.7286</v>
      </c>
      <c r="J1708">
        <v>7000</v>
      </c>
      <c r="K1708" s="28">
        <v>6.5266999999999999</v>
      </c>
    </row>
    <row r="1709" spans="1:12" ht="15" customHeight="1" x14ac:dyDescent="0.2">
      <c r="A1709" s="28" t="s">
        <v>9</v>
      </c>
      <c r="B1709" s="2" t="s">
        <v>29</v>
      </c>
      <c r="C1709" s="30">
        <v>0.25</v>
      </c>
      <c r="D1709" s="28">
        <f>YEAR(TableauFlitrage[[#This Row],[Date_d_adjudication]])</f>
        <v>2023</v>
      </c>
      <c r="E1709" s="28">
        <f t="shared" si="28"/>
        <v>8</v>
      </c>
      <c r="F1709" s="15">
        <v>45147</v>
      </c>
      <c r="G1709" s="28">
        <v>98.483333000000002</v>
      </c>
      <c r="H1709" s="15">
        <v>45240</v>
      </c>
      <c r="I1709">
        <v>100</v>
      </c>
      <c r="J1709">
        <v>10000</v>
      </c>
      <c r="K1709" s="28">
        <v>6.0923999999999996</v>
      </c>
    </row>
    <row r="1710" spans="1:12" x14ac:dyDescent="0.2">
      <c r="A1710" s="28" t="s">
        <v>9</v>
      </c>
      <c r="B1710" s="2" t="s">
        <v>29</v>
      </c>
      <c r="C1710" s="30">
        <v>0.5</v>
      </c>
      <c r="D1710" s="28">
        <f>YEAR(TableauFlitrage[[#This Row],[Date_d_adjudication]])</f>
        <v>2023</v>
      </c>
      <c r="E1710" s="28">
        <f t="shared" si="28"/>
        <v>8</v>
      </c>
      <c r="F1710" s="15">
        <v>45147</v>
      </c>
      <c r="G1710" s="28">
        <v>96.878060000000005</v>
      </c>
      <c r="H1710" s="15">
        <v>45331</v>
      </c>
      <c r="I1710">
        <v>103.36</v>
      </c>
      <c r="J1710">
        <v>15000</v>
      </c>
      <c r="K1710" s="28">
        <v>6.3742999999999999</v>
      </c>
    </row>
    <row r="1711" spans="1:12" ht="15" customHeight="1" x14ac:dyDescent="0.2">
      <c r="A1711" s="28" t="s">
        <v>11</v>
      </c>
      <c r="B1711" s="2" t="s">
        <v>29</v>
      </c>
      <c r="C1711" s="30">
        <v>1</v>
      </c>
      <c r="D1711" s="28">
        <f>YEAR(TableauFlitrage[[#This Row],[Date_d_adjudication]])</f>
        <v>2023</v>
      </c>
      <c r="E1711" s="28">
        <f t="shared" si="28"/>
        <v>8</v>
      </c>
      <c r="F1711" s="15">
        <v>45147</v>
      </c>
      <c r="G1711" s="28">
        <v>93.213776999999993</v>
      </c>
      <c r="H1711" s="15">
        <v>45513</v>
      </c>
      <c r="I1711">
        <v>69.8</v>
      </c>
      <c r="J1711">
        <v>20000</v>
      </c>
      <c r="K1711" s="28">
        <v>7.2003000000000004</v>
      </c>
    </row>
    <row r="1712" spans="1:12" ht="15" customHeight="1" x14ac:dyDescent="0.2">
      <c r="A1712" s="28" t="s">
        <v>11</v>
      </c>
      <c r="B1712" t="s">
        <v>30</v>
      </c>
      <c r="C1712" s="30" t="s">
        <v>54</v>
      </c>
      <c r="D1712" s="28">
        <f>YEAR(TableauFlitrage[[#This Row],[Date_d_adjudication]])</f>
        <v>2023</v>
      </c>
      <c r="E1712" s="28">
        <f t="shared" si="28"/>
        <v>8</v>
      </c>
      <c r="F1712" s="15">
        <v>45147</v>
      </c>
      <c r="G1712" s="28">
        <v>93.666899999999998</v>
      </c>
      <c r="H1712" s="15">
        <v>46245</v>
      </c>
      <c r="I1712">
        <v>35.455500000000001</v>
      </c>
      <c r="J1712">
        <v>20000</v>
      </c>
      <c r="K1712" s="28">
        <v>6.5</v>
      </c>
      <c r="L1712">
        <v>8.9499999999999993</v>
      </c>
    </row>
    <row r="1713" spans="1:12" ht="15" customHeight="1" x14ac:dyDescent="0.2">
      <c r="A1713" s="28" t="s">
        <v>19</v>
      </c>
      <c r="B1713" s="2" t="s">
        <v>29</v>
      </c>
      <c r="C1713" s="30">
        <v>0.5</v>
      </c>
      <c r="D1713" s="28">
        <f>YEAR(TableauFlitrage[[#This Row],[Date_d_adjudication]])</f>
        <v>2023</v>
      </c>
      <c r="E1713" s="28">
        <f t="shared" si="28"/>
        <v>8</v>
      </c>
      <c r="F1713" s="15">
        <v>45152</v>
      </c>
      <c r="G1713" s="28">
        <v>96.713888999999995</v>
      </c>
      <c r="H1713" s="15">
        <v>45336</v>
      </c>
      <c r="I1713">
        <v>100</v>
      </c>
      <c r="J1713">
        <v>5000</v>
      </c>
      <c r="K1713" s="28">
        <v>6.7209000000000003</v>
      </c>
    </row>
    <row r="1714" spans="1:12" ht="15" customHeight="1" x14ac:dyDescent="0.2">
      <c r="A1714" s="28" t="s">
        <v>19</v>
      </c>
      <c r="B1714" s="2" t="s">
        <v>29</v>
      </c>
      <c r="C1714" s="30">
        <v>1</v>
      </c>
      <c r="D1714" s="28">
        <f>YEAR(TableauFlitrage[[#This Row],[Date_d_adjudication]])</f>
        <v>2023</v>
      </c>
      <c r="E1714" s="28">
        <f t="shared" si="28"/>
        <v>8</v>
      </c>
      <c r="F1714" s="15">
        <v>45152</v>
      </c>
      <c r="G1714" s="28">
        <v>92.416667000000004</v>
      </c>
      <c r="H1714" s="15">
        <v>45518</v>
      </c>
      <c r="I1714">
        <v>100</v>
      </c>
      <c r="J1714">
        <v>5000</v>
      </c>
      <c r="K1714" s="28">
        <v>8.1153999999999993</v>
      </c>
    </row>
    <row r="1715" spans="1:12" x14ac:dyDescent="0.2">
      <c r="A1715" s="28" t="s">
        <v>14</v>
      </c>
      <c r="B1715" t="s">
        <v>30</v>
      </c>
      <c r="C1715" s="30" t="s">
        <v>56</v>
      </c>
      <c r="D1715" s="28">
        <f>YEAR(TableauFlitrage[[#This Row],[Date_d_adjudication]])</f>
        <v>2023</v>
      </c>
      <c r="E1715" s="28">
        <f t="shared" si="28"/>
        <v>8</v>
      </c>
      <c r="F1715" s="15">
        <v>45152</v>
      </c>
      <c r="G1715" s="28">
        <v>90.004199999999997</v>
      </c>
      <c r="H1715" s="15">
        <v>46615</v>
      </c>
      <c r="I1715">
        <v>100.4175</v>
      </c>
      <c r="J1715">
        <v>10000</v>
      </c>
      <c r="K1715" s="28">
        <v>6.5</v>
      </c>
      <c r="L1715">
        <v>9.57</v>
      </c>
    </row>
    <row r="1716" spans="1:12" ht="15" customHeight="1" x14ac:dyDescent="0.2">
      <c r="A1716" s="28" t="s">
        <v>14</v>
      </c>
      <c r="B1716" t="s">
        <v>30</v>
      </c>
      <c r="C1716" s="30" t="s">
        <v>55</v>
      </c>
      <c r="D1716" s="28">
        <f>YEAR(TableauFlitrage[[#This Row],[Date_d_adjudication]])</f>
        <v>2023</v>
      </c>
      <c r="E1716" s="28">
        <f t="shared" ref="E1716:E1766" si="29">MONTH(F1716)</f>
        <v>8</v>
      </c>
      <c r="F1716" s="15">
        <v>45152</v>
      </c>
      <c r="G1716" s="28">
        <v>89</v>
      </c>
      <c r="H1716" s="15">
        <v>46981</v>
      </c>
      <c r="I1716">
        <v>100</v>
      </c>
      <c r="J1716">
        <v>5000</v>
      </c>
      <c r="K1716" s="28">
        <v>7</v>
      </c>
      <c r="L1716">
        <v>9.84</v>
      </c>
    </row>
    <row r="1717" spans="1:12" ht="15" customHeight="1" x14ac:dyDescent="0.2">
      <c r="A1717" s="28" t="s">
        <v>8</v>
      </c>
      <c r="B1717" s="2" t="s">
        <v>29</v>
      </c>
      <c r="C1717" s="30">
        <v>0.5</v>
      </c>
      <c r="D1717" s="28">
        <f>YEAR(TableauFlitrage[[#This Row],[Date_d_adjudication]])</f>
        <v>2023</v>
      </c>
      <c r="E1717" s="28">
        <f t="shared" si="29"/>
        <v>8</v>
      </c>
      <c r="F1717" s="15">
        <v>45153</v>
      </c>
      <c r="G1717" s="28">
        <v>96.596190000000007</v>
      </c>
      <c r="H1717" s="15">
        <v>45337</v>
      </c>
      <c r="I1717">
        <v>16.62</v>
      </c>
      <c r="J1717">
        <v>25000</v>
      </c>
      <c r="K1717" s="28">
        <v>6.9701000000000004</v>
      </c>
    </row>
    <row r="1718" spans="1:12" ht="15" customHeight="1" x14ac:dyDescent="0.2">
      <c r="A1718" s="28" t="s">
        <v>8</v>
      </c>
      <c r="B1718" t="s">
        <v>30</v>
      </c>
      <c r="C1718" s="30" t="s">
        <v>54</v>
      </c>
      <c r="D1718" s="28">
        <f>YEAR(TableauFlitrage[[#This Row],[Date_d_adjudication]])</f>
        <v>2023</v>
      </c>
      <c r="E1718" s="28">
        <f t="shared" si="29"/>
        <v>8</v>
      </c>
      <c r="F1718" s="15">
        <v>45153</v>
      </c>
      <c r="G1718" s="28">
        <v>92</v>
      </c>
      <c r="H1718" s="15">
        <v>46251</v>
      </c>
      <c r="I1718">
        <v>77.133300000000006</v>
      </c>
      <c r="J1718">
        <v>15000</v>
      </c>
      <c r="K1718" s="28">
        <v>6</v>
      </c>
      <c r="L1718">
        <v>9.11</v>
      </c>
    </row>
    <row r="1719" spans="1:12" ht="15" customHeight="1" x14ac:dyDescent="0.2">
      <c r="A1719" s="28" t="s">
        <v>9</v>
      </c>
      <c r="B1719" s="2" t="s">
        <v>29</v>
      </c>
      <c r="C1719" s="30">
        <v>0.25</v>
      </c>
      <c r="D1719" s="28">
        <f>YEAR(TableauFlitrage[[#This Row],[Date_d_adjudication]])</f>
        <v>2023</v>
      </c>
      <c r="E1719" s="28">
        <f t="shared" si="29"/>
        <v>8</v>
      </c>
      <c r="F1719" s="15">
        <v>45154</v>
      </c>
      <c r="G1719" s="28">
        <v>98.49709</v>
      </c>
      <c r="H1719" s="15">
        <v>45247</v>
      </c>
      <c r="I1719">
        <v>129.01050000000001</v>
      </c>
      <c r="J1719">
        <v>9500</v>
      </c>
      <c r="K1719" s="28">
        <v>6.0362999999999998</v>
      </c>
    </row>
    <row r="1720" spans="1:12" ht="15" customHeight="1" x14ac:dyDescent="0.2">
      <c r="A1720" s="28" t="s">
        <v>11</v>
      </c>
      <c r="B1720" t="s">
        <v>30</v>
      </c>
      <c r="C1720" s="30" t="s">
        <v>54</v>
      </c>
      <c r="D1720" s="28">
        <f>YEAR(TableauFlitrage[[#This Row],[Date_d_adjudication]])</f>
        <v>2023</v>
      </c>
      <c r="E1720" s="28">
        <f t="shared" si="29"/>
        <v>8</v>
      </c>
      <c r="F1720" s="15">
        <v>45154</v>
      </c>
      <c r="G1720" s="28">
        <v>92.725399999999993</v>
      </c>
      <c r="H1720" s="15">
        <v>46252</v>
      </c>
      <c r="I1720">
        <v>73.875699999999995</v>
      </c>
      <c r="J1720">
        <v>25000</v>
      </c>
      <c r="K1720" s="28">
        <v>6.5</v>
      </c>
      <c r="L1720">
        <v>9.34</v>
      </c>
    </row>
    <row r="1721" spans="1:12" ht="15" customHeight="1" x14ac:dyDescent="0.2">
      <c r="A1721" s="28" t="s">
        <v>8</v>
      </c>
      <c r="B1721" s="2" t="s">
        <v>29</v>
      </c>
      <c r="C1721" s="30">
        <v>0.25</v>
      </c>
      <c r="D1721" s="28">
        <f>YEAR(TableauFlitrage[[#This Row],[Date_d_adjudication]])</f>
        <v>2023</v>
      </c>
      <c r="E1721" s="28">
        <f t="shared" si="29"/>
        <v>8</v>
      </c>
      <c r="F1721" s="15">
        <v>45160</v>
      </c>
      <c r="G1721" s="28">
        <v>98.421678</v>
      </c>
      <c r="H1721" s="15">
        <v>45253</v>
      </c>
      <c r="I1721">
        <v>61.615000000000002</v>
      </c>
      <c r="J1721">
        <v>20000</v>
      </c>
      <c r="K1721" s="28">
        <v>6.3440000000000003</v>
      </c>
    </row>
    <row r="1722" spans="1:12" ht="15" customHeight="1" x14ac:dyDescent="0.2">
      <c r="A1722" s="28" t="s">
        <v>8</v>
      </c>
      <c r="B1722" s="2" t="s">
        <v>29</v>
      </c>
      <c r="C1722" s="30">
        <v>0.5</v>
      </c>
      <c r="D1722" s="28">
        <f>YEAR(TableauFlitrage[[#This Row],[Date_d_adjudication]])</f>
        <v>2023</v>
      </c>
      <c r="E1722" s="28">
        <f t="shared" si="29"/>
        <v>8</v>
      </c>
      <c r="F1722" s="15">
        <v>45160</v>
      </c>
      <c r="G1722" s="28">
        <v>96.798524999999998</v>
      </c>
      <c r="H1722" s="15">
        <v>45337</v>
      </c>
      <c r="I1722">
        <v>23.553799999999999</v>
      </c>
      <c r="J1722">
        <v>13000</v>
      </c>
      <c r="K1722" s="28">
        <v>6.8037000000000001</v>
      </c>
    </row>
    <row r="1723" spans="1:12" x14ac:dyDescent="0.2">
      <c r="A1723" s="28" t="s">
        <v>9</v>
      </c>
      <c r="B1723" s="2" t="s">
        <v>29</v>
      </c>
      <c r="C1723" s="30">
        <v>0.5</v>
      </c>
      <c r="D1723" s="28">
        <f>YEAR(TableauFlitrage[[#This Row],[Date_d_adjudication]])</f>
        <v>2023</v>
      </c>
      <c r="E1723" s="28">
        <f t="shared" si="29"/>
        <v>8</v>
      </c>
      <c r="F1723" s="15">
        <v>45161</v>
      </c>
      <c r="G1723" s="28">
        <v>96.919878999999995</v>
      </c>
      <c r="H1723" s="15">
        <v>45345</v>
      </c>
      <c r="I1723">
        <v>136.1789</v>
      </c>
      <c r="J1723">
        <v>9500</v>
      </c>
      <c r="K1723" s="28">
        <v>6.2862</v>
      </c>
    </row>
    <row r="1724" spans="1:12" x14ac:dyDescent="0.2">
      <c r="A1724" s="28" t="s">
        <v>11</v>
      </c>
      <c r="B1724" s="2" t="s">
        <v>29</v>
      </c>
      <c r="C1724" s="30">
        <v>1</v>
      </c>
      <c r="D1724" s="28">
        <f>YEAR(TableauFlitrage[[#This Row],[Date_d_adjudication]])</f>
        <v>2023</v>
      </c>
      <c r="E1724" s="28">
        <f t="shared" si="29"/>
        <v>8</v>
      </c>
      <c r="F1724" s="15">
        <v>45161</v>
      </c>
      <c r="G1724" s="28">
        <v>93.190943000000004</v>
      </c>
      <c r="H1724" s="15">
        <v>45527</v>
      </c>
      <c r="I1724">
        <v>22.355</v>
      </c>
      <c r="J1724">
        <v>20000</v>
      </c>
      <c r="K1724" s="28">
        <v>7.2263000000000002</v>
      </c>
    </row>
    <row r="1725" spans="1:12" ht="15" customHeight="1" x14ac:dyDescent="0.2">
      <c r="A1725" s="28" t="s">
        <v>11</v>
      </c>
      <c r="B1725" t="s">
        <v>30</v>
      </c>
      <c r="C1725" s="30" t="s">
        <v>54</v>
      </c>
      <c r="D1725" s="28">
        <f>YEAR(TableauFlitrage[[#This Row],[Date_d_adjudication]])</f>
        <v>2023</v>
      </c>
      <c r="E1725" s="28">
        <f t="shared" si="29"/>
        <v>8</v>
      </c>
      <c r="F1725" s="15">
        <v>45161</v>
      </c>
      <c r="G1725" s="28">
        <v>90.905600000000007</v>
      </c>
      <c r="H1725" s="15">
        <v>46259</v>
      </c>
      <c r="I1725">
        <v>50.055599999999998</v>
      </c>
      <c r="J1725">
        <v>20000</v>
      </c>
      <c r="K1725" s="28">
        <v>6.5</v>
      </c>
      <c r="L1725">
        <v>10.09</v>
      </c>
    </row>
    <row r="1726" spans="1:12" ht="15" customHeight="1" x14ac:dyDescent="0.2">
      <c r="A1726" s="28" t="s">
        <v>7</v>
      </c>
      <c r="B1726" s="2" t="s">
        <v>29</v>
      </c>
      <c r="C1726" s="30">
        <v>0.25</v>
      </c>
      <c r="D1726" s="28">
        <f>YEAR(TableauFlitrage[[#This Row],[Date_d_adjudication]])</f>
        <v>2023</v>
      </c>
      <c r="E1726" s="28">
        <f t="shared" si="29"/>
        <v>8</v>
      </c>
      <c r="F1726" s="15">
        <v>45166</v>
      </c>
      <c r="G1726" s="28">
        <v>98.660813000000005</v>
      </c>
      <c r="H1726" s="15">
        <v>45259</v>
      </c>
      <c r="I1726">
        <v>68.55</v>
      </c>
      <c r="J1726">
        <v>20000</v>
      </c>
      <c r="K1726" s="28">
        <v>5.3697999999999997</v>
      </c>
    </row>
    <row r="1727" spans="1:12" ht="15" customHeight="1" x14ac:dyDescent="0.2">
      <c r="A1727" s="28" t="s">
        <v>7</v>
      </c>
      <c r="B1727" s="2" t="s">
        <v>29</v>
      </c>
      <c r="C1727" s="30">
        <v>0.5</v>
      </c>
      <c r="D1727" s="28">
        <f>YEAR(TableauFlitrage[[#This Row],[Date_d_adjudication]])</f>
        <v>2023</v>
      </c>
      <c r="E1727" s="28">
        <f t="shared" si="29"/>
        <v>8</v>
      </c>
      <c r="F1727" s="15">
        <v>45166</v>
      </c>
      <c r="G1727" s="28">
        <v>97.266008999999997</v>
      </c>
      <c r="H1727" s="15">
        <v>45350</v>
      </c>
      <c r="I1727">
        <v>66.55</v>
      </c>
      <c r="J1727">
        <v>20000</v>
      </c>
      <c r="K1727" s="28">
        <v>5.5598999999999998</v>
      </c>
    </row>
    <row r="1728" spans="1:12" ht="15" customHeight="1" x14ac:dyDescent="0.2">
      <c r="A1728" s="28" t="s">
        <v>7</v>
      </c>
      <c r="B1728" s="2" t="s">
        <v>29</v>
      </c>
      <c r="C1728" s="30">
        <v>0.5</v>
      </c>
      <c r="D1728" s="28">
        <f>YEAR(TableauFlitrage[[#This Row],[Date_d_adjudication]])</f>
        <v>2023</v>
      </c>
      <c r="E1728" s="28">
        <f t="shared" si="29"/>
        <v>8</v>
      </c>
      <c r="F1728" s="15">
        <v>45166</v>
      </c>
      <c r="G1728" s="28">
        <v>97.219443999999996</v>
      </c>
      <c r="H1728" s="15">
        <v>45350</v>
      </c>
      <c r="I1728">
        <v>49.883299999999998</v>
      </c>
      <c r="J1728">
        <v>30000</v>
      </c>
      <c r="K1728" s="28">
        <v>5.6573000000000002</v>
      </c>
    </row>
    <row r="1729" spans="1:12" ht="15" customHeight="1" x14ac:dyDescent="0.2">
      <c r="A1729" s="28" t="s">
        <v>8</v>
      </c>
      <c r="B1729" t="s">
        <v>30</v>
      </c>
      <c r="C1729" s="30" t="s">
        <v>56</v>
      </c>
      <c r="D1729" s="28">
        <f>YEAR(TableauFlitrage[[#This Row],[Date_d_adjudication]])</f>
        <v>2023</v>
      </c>
      <c r="E1729" s="28">
        <f t="shared" si="29"/>
        <v>8</v>
      </c>
      <c r="F1729" s="15">
        <v>45167</v>
      </c>
      <c r="G1729" s="28">
        <v>90.7941</v>
      </c>
      <c r="H1729" s="15">
        <v>46630</v>
      </c>
      <c r="I1729">
        <v>103.6</v>
      </c>
      <c r="J1729">
        <v>10000</v>
      </c>
      <c r="K1729" s="28">
        <v>6.2</v>
      </c>
      <c r="L1729">
        <v>8.99</v>
      </c>
    </row>
    <row r="1730" spans="1:12" ht="15" customHeight="1" x14ac:dyDescent="0.2">
      <c r="A1730" s="28" t="s">
        <v>9</v>
      </c>
      <c r="B1730" s="2" t="s">
        <v>29</v>
      </c>
      <c r="C1730" s="30">
        <v>0.5</v>
      </c>
      <c r="D1730" s="28">
        <f>YEAR(TableauFlitrage[[#This Row],[Date_d_adjudication]])</f>
        <v>2023</v>
      </c>
      <c r="E1730" s="28">
        <f t="shared" si="29"/>
        <v>8</v>
      </c>
      <c r="F1730" s="15">
        <v>45168</v>
      </c>
      <c r="G1730" s="28">
        <v>96.966667000000001</v>
      </c>
      <c r="H1730" s="15">
        <v>45352</v>
      </c>
      <c r="I1730">
        <v>21.444400000000002</v>
      </c>
      <c r="J1730">
        <v>9000</v>
      </c>
      <c r="K1730" s="28">
        <v>6.1877000000000004</v>
      </c>
    </row>
    <row r="1731" spans="1:12" ht="15" customHeight="1" x14ac:dyDescent="0.2">
      <c r="A1731" s="28" t="s">
        <v>11</v>
      </c>
      <c r="B1731" s="2" t="s">
        <v>29</v>
      </c>
      <c r="C1731" s="30">
        <v>1</v>
      </c>
      <c r="D1731" s="28">
        <f>YEAR(TableauFlitrage[[#This Row],[Date_d_adjudication]])</f>
        <v>2023</v>
      </c>
      <c r="E1731" s="28">
        <f t="shared" si="29"/>
        <v>8</v>
      </c>
      <c r="F1731" s="15">
        <v>45168</v>
      </c>
      <c r="G1731" s="28">
        <v>93.176306999999994</v>
      </c>
      <c r="H1731" s="15">
        <v>45534</v>
      </c>
      <c r="I1731">
        <v>53.204999999999998</v>
      </c>
      <c r="J1731">
        <v>20000</v>
      </c>
      <c r="K1731" s="28">
        <v>7.2428999999999997</v>
      </c>
    </row>
    <row r="1732" spans="1:12" ht="15" customHeight="1" x14ac:dyDescent="0.2">
      <c r="A1732" s="28" t="s">
        <v>7</v>
      </c>
      <c r="B1732" s="2" t="s">
        <v>29</v>
      </c>
      <c r="C1732" s="30">
        <v>0.5</v>
      </c>
      <c r="D1732" s="28">
        <f>YEAR(TableauFlitrage[[#This Row],[Date_d_adjudication]])</f>
        <v>2023</v>
      </c>
      <c r="E1732" s="28">
        <f t="shared" si="29"/>
        <v>9</v>
      </c>
      <c r="F1732" s="15">
        <v>45173</v>
      </c>
      <c r="G1732" s="28">
        <v>97.302860999999993</v>
      </c>
      <c r="H1732" s="15">
        <v>45357</v>
      </c>
      <c r="I1732">
        <v>130</v>
      </c>
      <c r="J1732">
        <v>10000</v>
      </c>
      <c r="K1732" s="28">
        <v>5.4859</v>
      </c>
    </row>
    <row r="1733" spans="1:12" ht="15" customHeight="1" x14ac:dyDescent="0.2">
      <c r="A1733" s="28" t="s">
        <v>8</v>
      </c>
      <c r="B1733" s="2" t="s">
        <v>29</v>
      </c>
      <c r="C1733" s="30">
        <v>0.25</v>
      </c>
      <c r="D1733" s="28">
        <f>YEAR(TableauFlitrage[[#This Row],[Date_d_adjudication]])</f>
        <v>2023</v>
      </c>
      <c r="E1733" s="28">
        <f t="shared" si="29"/>
        <v>9</v>
      </c>
      <c r="F1733" s="15">
        <v>45174</v>
      </c>
      <c r="G1733" s="28">
        <v>98.404069000000007</v>
      </c>
      <c r="H1733" s="15">
        <v>45267</v>
      </c>
      <c r="I1733">
        <v>101.66</v>
      </c>
      <c r="J1733">
        <v>20000</v>
      </c>
      <c r="K1733" s="28">
        <v>6.4160000000000004</v>
      </c>
    </row>
    <row r="1734" spans="1:12" ht="15" customHeight="1" x14ac:dyDescent="0.2">
      <c r="A1734" s="28" t="s">
        <v>8</v>
      </c>
      <c r="B1734" s="2" t="s">
        <v>29</v>
      </c>
      <c r="C1734" s="30">
        <v>0.5</v>
      </c>
      <c r="D1734" s="28">
        <f>YEAR(TableauFlitrage[[#This Row],[Date_d_adjudication]])</f>
        <v>2023</v>
      </c>
      <c r="E1734" s="28">
        <f t="shared" si="29"/>
        <v>9</v>
      </c>
      <c r="F1734" s="15">
        <v>45174</v>
      </c>
      <c r="G1734" s="28">
        <v>96.808681000000007</v>
      </c>
      <c r="H1734" s="15">
        <v>45358</v>
      </c>
      <c r="I1734">
        <v>20.066669999999998</v>
      </c>
      <c r="J1734">
        <v>15000</v>
      </c>
      <c r="K1734" s="28">
        <v>6.5206</v>
      </c>
    </row>
    <row r="1735" spans="1:12" ht="15" customHeight="1" x14ac:dyDescent="0.2">
      <c r="A1735" s="28" t="s">
        <v>8</v>
      </c>
      <c r="B1735" t="s">
        <v>30</v>
      </c>
      <c r="C1735" s="30" t="s">
        <v>56</v>
      </c>
      <c r="D1735" s="28">
        <f>YEAR(TableauFlitrage[[#This Row],[Date_d_adjudication]])</f>
        <v>2023</v>
      </c>
      <c r="E1735" s="28">
        <f t="shared" si="29"/>
        <v>9</v>
      </c>
      <c r="F1735" s="15">
        <v>45174</v>
      </c>
      <c r="G1735" s="28">
        <v>91.118600000000001</v>
      </c>
      <c r="H1735" s="15">
        <v>46630</v>
      </c>
      <c r="I1735">
        <v>28</v>
      </c>
      <c r="J1735">
        <v>2500</v>
      </c>
      <c r="K1735" s="28">
        <v>6.2</v>
      </c>
      <c r="L1735">
        <v>8.89</v>
      </c>
    </row>
    <row r="1736" spans="1:12" ht="15" customHeight="1" x14ac:dyDescent="0.2">
      <c r="A1736" s="28" t="s">
        <v>8</v>
      </c>
      <c r="B1736" t="s">
        <v>30</v>
      </c>
      <c r="C1736" s="30" t="s">
        <v>54</v>
      </c>
      <c r="D1736" s="28">
        <f>YEAR(TableauFlitrage[[#This Row],[Date_d_adjudication]])</f>
        <v>2023</v>
      </c>
      <c r="E1736" s="28">
        <f t="shared" si="29"/>
        <v>9</v>
      </c>
      <c r="F1736" s="15">
        <v>45174</v>
      </c>
      <c r="G1736" s="28">
        <v>91.086399999999998</v>
      </c>
      <c r="H1736" s="15">
        <v>46272</v>
      </c>
      <c r="I1736">
        <v>85.587299999999999</v>
      </c>
      <c r="J1736">
        <v>15000</v>
      </c>
      <c r="K1736" s="28">
        <v>6</v>
      </c>
      <c r="L1736">
        <v>9.48</v>
      </c>
    </row>
    <row r="1737" spans="1:12" x14ac:dyDescent="0.2">
      <c r="A1737" s="28" t="s">
        <v>9</v>
      </c>
      <c r="B1737" s="2" t="s">
        <v>29</v>
      </c>
      <c r="C1737" s="30">
        <v>1</v>
      </c>
      <c r="D1737" s="28">
        <f>YEAR(TableauFlitrage[[#This Row],[Date_d_adjudication]])</f>
        <v>2023</v>
      </c>
      <c r="E1737" s="28">
        <f t="shared" si="29"/>
        <v>9</v>
      </c>
      <c r="F1737" s="15">
        <v>45175</v>
      </c>
      <c r="G1737" s="28">
        <v>93.786558999999997</v>
      </c>
      <c r="H1737" s="15">
        <v>45541</v>
      </c>
      <c r="I1737">
        <v>16.315799999999999</v>
      </c>
      <c r="J1737">
        <v>9500</v>
      </c>
      <c r="K1737" s="28">
        <v>6.5522999999999998</v>
      </c>
    </row>
    <row r="1738" spans="1:12" x14ac:dyDescent="0.2">
      <c r="A1738" s="28" t="s">
        <v>11</v>
      </c>
      <c r="B1738" s="2" t="s">
        <v>29</v>
      </c>
      <c r="C1738" s="30">
        <v>1</v>
      </c>
      <c r="D1738" s="28">
        <f>YEAR(TableauFlitrage[[#This Row],[Date_d_adjudication]])</f>
        <v>2023</v>
      </c>
      <c r="E1738" s="28">
        <f t="shared" si="29"/>
        <v>9</v>
      </c>
      <c r="F1738" s="15">
        <v>45175</v>
      </c>
      <c r="G1738" s="28">
        <v>93.180509000000001</v>
      </c>
      <c r="H1738" s="15">
        <v>45541</v>
      </c>
      <c r="I1738">
        <v>73.88</v>
      </c>
      <c r="J1738">
        <v>10000</v>
      </c>
      <c r="K1738" s="28">
        <v>7.2382</v>
      </c>
    </row>
    <row r="1739" spans="1:12" x14ac:dyDescent="0.2">
      <c r="A1739" s="28" t="s">
        <v>11</v>
      </c>
      <c r="B1739" s="2" t="s">
        <v>29</v>
      </c>
      <c r="C1739" s="30">
        <v>0.5</v>
      </c>
      <c r="D1739" s="28">
        <f>YEAR(TableauFlitrage[[#This Row],[Date_d_adjudication]])</f>
        <v>2023</v>
      </c>
      <c r="E1739" s="28">
        <f t="shared" si="29"/>
        <v>9</v>
      </c>
      <c r="F1739" s="15">
        <v>45175</v>
      </c>
      <c r="G1739" s="28">
        <v>96.592877999999999</v>
      </c>
      <c r="H1739" s="15">
        <v>45359</v>
      </c>
      <c r="I1739">
        <v>78.333299999999994</v>
      </c>
      <c r="J1739">
        <v>12000</v>
      </c>
      <c r="K1739" s="28">
        <v>6.9771000000000001</v>
      </c>
    </row>
    <row r="1740" spans="1:12" x14ac:dyDescent="0.2">
      <c r="A1740" s="28" t="s">
        <v>11</v>
      </c>
      <c r="B1740" t="s">
        <v>30</v>
      </c>
      <c r="C1740" s="30" t="s">
        <v>54</v>
      </c>
      <c r="D1740" s="28">
        <f>YEAR(TableauFlitrage[[#This Row],[Date_d_adjudication]])</f>
        <v>2023</v>
      </c>
      <c r="E1740" s="28">
        <f t="shared" si="29"/>
        <v>9</v>
      </c>
      <c r="F1740" s="15">
        <v>45175</v>
      </c>
      <c r="G1740" s="28">
        <v>92.346100000000007</v>
      </c>
      <c r="H1740" s="15">
        <v>46273</v>
      </c>
      <c r="I1740">
        <v>158.59049999999999</v>
      </c>
      <c r="J1740">
        <v>10000</v>
      </c>
      <c r="K1740" s="28">
        <v>6.5</v>
      </c>
      <c r="L1740">
        <v>9.49</v>
      </c>
    </row>
    <row r="1741" spans="1:12" x14ac:dyDescent="0.2">
      <c r="A1741" s="28" t="s">
        <v>7</v>
      </c>
      <c r="B1741" t="s">
        <v>30</v>
      </c>
      <c r="C1741" s="30" t="s">
        <v>61</v>
      </c>
      <c r="D1741" s="28">
        <f>YEAR(TableauFlitrage[[#This Row],[Date_d_adjudication]])</f>
        <v>2023</v>
      </c>
      <c r="E1741" s="28">
        <f t="shared" si="29"/>
        <v>9</v>
      </c>
      <c r="F1741" s="15">
        <v>45180</v>
      </c>
      <c r="G1741" s="28">
        <v>100</v>
      </c>
      <c r="H1741" s="15">
        <v>48835</v>
      </c>
      <c r="I1741">
        <v>110</v>
      </c>
      <c r="J1741">
        <v>20000</v>
      </c>
      <c r="K1741" s="28">
        <v>7.2</v>
      </c>
      <c r="L1741">
        <v>7.2</v>
      </c>
    </row>
    <row r="1742" spans="1:12" x14ac:dyDescent="0.2">
      <c r="A1742" s="28" t="s">
        <v>8</v>
      </c>
      <c r="B1742" s="2" t="s">
        <v>29</v>
      </c>
      <c r="C1742" s="30">
        <v>0.25</v>
      </c>
      <c r="D1742" s="28">
        <f>YEAR(TableauFlitrage[[#This Row],[Date_d_adjudication]])</f>
        <v>2023</v>
      </c>
      <c r="E1742" s="28">
        <f t="shared" si="29"/>
        <v>9</v>
      </c>
      <c r="F1742" s="15">
        <v>45181</v>
      </c>
      <c r="G1742" s="28">
        <v>99.65</v>
      </c>
      <c r="H1742" s="15">
        <v>45204</v>
      </c>
      <c r="I1742">
        <v>15.7</v>
      </c>
      <c r="J1742">
        <v>1000</v>
      </c>
      <c r="K1742" s="28">
        <v>6.0210999999999997</v>
      </c>
    </row>
    <row r="1743" spans="1:12" x14ac:dyDescent="0.2">
      <c r="A1743" s="28" t="s">
        <v>8</v>
      </c>
      <c r="B1743" s="2" t="s">
        <v>29</v>
      </c>
      <c r="C1743" s="30">
        <v>1</v>
      </c>
      <c r="D1743" s="28">
        <f>YEAR(TableauFlitrage[[#This Row],[Date_d_adjudication]])</f>
        <v>2023</v>
      </c>
      <c r="E1743" s="28">
        <f t="shared" si="29"/>
        <v>9</v>
      </c>
      <c r="F1743" s="15">
        <v>45181</v>
      </c>
      <c r="G1743" s="28">
        <v>98.104167000000004</v>
      </c>
      <c r="H1743" s="15">
        <v>45288</v>
      </c>
      <c r="I1743">
        <v>83.333299999999994</v>
      </c>
      <c r="J1743">
        <v>6000</v>
      </c>
      <c r="K1743" s="28">
        <v>6.6256000000000004</v>
      </c>
    </row>
    <row r="1744" spans="1:12" x14ac:dyDescent="0.2">
      <c r="A1744" s="28" t="s">
        <v>8</v>
      </c>
      <c r="B1744" s="2" t="s">
        <v>29</v>
      </c>
      <c r="C1744" s="30">
        <v>0.5</v>
      </c>
      <c r="D1744" s="28">
        <f>YEAR(TableauFlitrage[[#This Row],[Date_d_adjudication]])</f>
        <v>2023</v>
      </c>
      <c r="E1744" s="28">
        <f t="shared" si="29"/>
        <v>9</v>
      </c>
      <c r="F1744" s="15">
        <v>45181</v>
      </c>
      <c r="G1744" s="28">
        <v>96.858456000000004</v>
      </c>
      <c r="H1744" s="15">
        <v>45358</v>
      </c>
      <c r="I1744">
        <v>83.791700000000006</v>
      </c>
      <c r="J1744">
        <v>12000</v>
      </c>
      <c r="K1744" s="28">
        <v>6.6722000000000001</v>
      </c>
    </row>
    <row r="1745" spans="1:12" x14ac:dyDescent="0.2">
      <c r="A1745" s="28" t="s">
        <v>8</v>
      </c>
      <c r="B1745" s="2" t="s">
        <v>29</v>
      </c>
      <c r="C1745" s="30">
        <v>0.25</v>
      </c>
      <c r="D1745" s="28">
        <f>YEAR(TableauFlitrage[[#This Row],[Date_d_adjudication]])</f>
        <v>2023</v>
      </c>
      <c r="E1745" s="28">
        <f t="shared" si="29"/>
        <v>9</v>
      </c>
      <c r="F1745" s="15">
        <v>45181</v>
      </c>
      <c r="G1745" s="28">
        <v>98.405099000000007</v>
      </c>
      <c r="H1745" s="15">
        <v>45274</v>
      </c>
      <c r="I1745">
        <v>93.7</v>
      </c>
      <c r="J1745">
        <v>10000</v>
      </c>
      <c r="K1745" s="28">
        <v>6.4118000000000004</v>
      </c>
    </row>
    <row r="1746" spans="1:12" x14ac:dyDescent="0.2">
      <c r="A1746" s="28" t="s">
        <v>10</v>
      </c>
      <c r="B1746" s="2" t="s">
        <v>29</v>
      </c>
      <c r="C1746" s="30">
        <v>1</v>
      </c>
      <c r="D1746" s="28">
        <f>YEAR(TableauFlitrage[[#This Row],[Date_d_adjudication]])</f>
        <v>2023</v>
      </c>
      <c r="E1746" s="28">
        <f t="shared" si="29"/>
        <v>9</v>
      </c>
      <c r="F1746" s="15">
        <v>45181</v>
      </c>
      <c r="G1746" s="28">
        <v>93.427778000000004</v>
      </c>
      <c r="H1746" s="15">
        <v>45547</v>
      </c>
      <c r="I1746">
        <v>182.23</v>
      </c>
      <c r="J1746">
        <v>10000</v>
      </c>
      <c r="K1746" s="28">
        <v>6.9572000000000003</v>
      </c>
    </row>
    <row r="1747" spans="1:12" x14ac:dyDescent="0.2">
      <c r="A1747" s="28" t="s">
        <v>8</v>
      </c>
      <c r="B1747" t="s">
        <v>30</v>
      </c>
      <c r="C1747" s="30" t="s">
        <v>53</v>
      </c>
      <c r="D1747" s="28">
        <f>YEAR(TableauFlitrage[[#This Row],[Date_d_adjudication]])</f>
        <v>2023</v>
      </c>
      <c r="E1747" s="28">
        <f t="shared" si="29"/>
        <v>9</v>
      </c>
      <c r="F1747" s="15">
        <v>45181</v>
      </c>
      <c r="G1747" s="28">
        <v>93.042500000000004</v>
      </c>
      <c r="H1747" s="15">
        <v>45914</v>
      </c>
      <c r="I1747">
        <v>63.866100000000003</v>
      </c>
      <c r="J1747">
        <v>10000</v>
      </c>
      <c r="K1747" s="28">
        <v>5.5</v>
      </c>
      <c r="L1747">
        <v>9.4</v>
      </c>
    </row>
    <row r="1748" spans="1:12" x14ac:dyDescent="0.2">
      <c r="A1748" s="28" t="s">
        <v>9</v>
      </c>
      <c r="B1748" s="2" t="s">
        <v>29</v>
      </c>
      <c r="C1748" s="30">
        <v>0.25</v>
      </c>
      <c r="D1748" s="28">
        <f>YEAR(TableauFlitrage[[#This Row],[Date_d_adjudication]])</f>
        <v>2023</v>
      </c>
      <c r="E1748" s="28">
        <f t="shared" si="29"/>
        <v>9</v>
      </c>
      <c r="F1748" s="15">
        <v>45182</v>
      </c>
      <c r="G1748" s="28">
        <v>98.493440000000007</v>
      </c>
      <c r="H1748" s="15">
        <v>45275</v>
      </c>
      <c r="I1748">
        <v>100.13330000000001</v>
      </c>
      <c r="J1748">
        <v>7500</v>
      </c>
      <c r="K1748" s="28">
        <v>6.0511999999999997</v>
      </c>
    </row>
    <row r="1749" spans="1:12" x14ac:dyDescent="0.2">
      <c r="A1749" s="28" t="s">
        <v>11</v>
      </c>
      <c r="B1749" s="2" t="s">
        <v>29</v>
      </c>
      <c r="C1749" s="30">
        <v>0.5</v>
      </c>
      <c r="D1749" s="28">
        <f>YEAR(TableauFlitrage[[#This Row],[Date_d_adjudication]])</f>
        <v>2023</v>
      </c>
      <c r="E1749" s="28">
        <f t="shared" si="29"/>
        <v>9</v>
      </c>
      <c r="F1749" s="15">
        <v>45182</v>
      </c>
      <c r="G1749" s="28">
        <v>96.633382999999995</v>
      </c>
      <c r="H1749" s="15">
        <v>45366</v>
      </c>
      <c r="I1749">
        <v>80.525000000000006</v>
      </c>
      <c r="J1749">
        <v>12000</v>
      </c>
      <c r="K1749" s="28">
        <v>6.8912000000000004</v>
      </c>
    </row>
    <row r="1750" spans="1:12" x14ac:dyDescent="0.2">
      <c r="A1750" s="28" t="s">
        <v>11</v>
      </c>
      <c r="B1750" t="s">
        <v>30</v>
      </c>
      <c r="C1750" s="30" t="s">
        <v>54</v>
      </c>
      <c r="D1750" s="28">
        <f>YEAR(TableauFlitrage[[#This Row],[Date_d_adjudication]])</f>
        <v>2023</v>
      </c>
      <c r="E1750" s="28">
        <f t="shared" si="29"/>
        <v>9</v>
      </c>
      <c r="F1750" s="15">
        <v>45182</v>
      </c>
      <c r="G1750" s="28">
        <v>100</v>
      </c>
      <c r="H1750" s="15">
        <v>46280</v>
      </c>
      <c r="I1750">
        <v>35.1</v>
      </c>
      <c r="J1750">
        <v>10000</v>
      </c>
      <c r="K1750" s="28">
        <v>5</v>
      </c>
      <c r="L1750">
        <v>5</v>
      </c>
    </row>
    <row r="1751" spans="1:12" x14ac:dyDescent="0.2">
      <c r="A1751" s="28" t="s">
        <v>7</v>
      </c>
      <c r="B1751" s="2" t="s">
        <v>29</v>
      </c>
      <c r="C1751" s="30">
        <v>0.25</v>
      </c>
      <c r="D1751" s="28">
        <f>YEAR(TableauFlitrage[[#This Row],[Date_d_adjudication]])</f>
        <v>2023</v>
      </c>
      <c r="E1751" s="28">
        <f t="shared" si="29"/>
        <v>9</v>
      </c>
      <c r="F1751" s="15">
        <v>45187</v>
      </c>
      <c r="G1751" s="28">
        <v>98.580461999999997</v>
      </c>
      <c r="H1751" s="15">
        <v>45280</v>
      </c>
      <c r="I1751">
        <v>100.104</v>
      </c>
      <c r="J1751">
        <v>75000</v>
      </c>
      <c r="K1751" s="28">
        <v>5.6966000000000001</v>
      </c>
    </row>
    <row r="1752" spans="1:12" x14ac:dyDescent="0.2">
      <c r="A1752" s="28" t="s">
        <v>7</v>
      </c>
      <c r="B1752" t="s">
        <v>30</v>
      </c>
      <c r="C1752" s="30" t="s">
        <v>54</v>
      </c>
      <c r="D1752" s="28">
        <f>YEAR(TableauFlitrage[[#This Row],[Date_d_adjudication]])</f>
        <v>2023</v>
      </c>
      <c r="E1752" s="28">
        <f t="shared" si="29"/>
        <v>9</v>
      </c>
      <c r="F1752" s="15">
        <v>45187</v>
      </c>
      <c r="G1752" s="28">
        <v>97.767099999999999</v>
      </c>
      <c r="H1752" s="15">
        <v>46285</v>
      </c>
      <c r="I1752">
        <v>72.52</v>
      </c>
      <c r="J1752">
        <v>25000</v>
      </c>
      <c r="K1752" s="28">
        <v>5.5</v>
      </c>
      <c r="L1752">
        <v>6.33</v>
      </c>
    </row>
    <row r="1753" spans="1:12" x14ac:dyDescent="0.2">
      <c r="A1753" s="28" t="s">
        <v>14</v>
      </c>
      <c r="B1753" t="s">
        <v>30</v>
      </c>
      <c r="C1753" s="30" t="s">
        <v>56</v>
      </c>
      <c r="D1753" s="28">
        <f>YEAR(TableauFlitrage[[#This Row],[Date_d_adjudication]])</f>
        <v>2023</v>
      </c>
      <c r="E1753" s="28">
        <f t="shared" si="29"/>
        <v>9</v>
      </c>
      <c r="F1753" s="15">
        <v>45187</v>
      </c>
      <c r="G1753" s="28">
        <v>90.621600000000001</v>
      </c>
      <c r="H1753" s="15">
        <v>46615</v>
      </c>
      <c r="I1753">
        <v>113.33329999999999</v>
      </c>
      <c r="J1753">
        <v>7500</v>
      </c>
      <c r="K1753" s="28">
        <v>6.5</v>
      </c>
      <c r="L1753">
        <v>9.3699999999999992</v>
      </c>
    </row>
    <row r="1754" spans="1:12" x14ac:dyDescent="0.2">
      <c r="A1754" s="28" t="s">
        <v>14</v>
      </c>
      <c r="B1754" t="s">
        <v>30</v>
      </c>
      <c r="C1754" s="30" t="s">
        <v>55</v>
      </c>
      <c r="D1754" s="28">
        <f>YEAR(TableauFlitrage[[#This Row],[Date_d_adjudication]])</f>
        <v>2023</v>
      </c>
      <c r="E1754" s="28">
        <f t="shared" si="29"/>
        <v>9</v>
      </c>
      <c r="F1754" s="15">
        <v>45187</v>
      </c>
      <c r="G1754" s="28">
        <v>89.841399999999993</v>
      </c>
      <c r="H1754" s="15">
        <v>46981</v>
      </c>
      <c r="I1754">
        <v>182.52</v>
      </c>
      <c r="J1754">
        <v>7500</v>
      </c>
      <c r="K1754" s="28">
        <v>7</v>
      </c>
      <c r="L1754">
        <v>9.61</v>
      </c>
    </row>
    <row r="1755" spans="1:12" x14ac:dyDescent="0.2">
      <c r="A1755" s="28" t="s">
        <v>8</v>
      </c>
      <c r="B1755" s="2" t="s">
        <v>29</v>
      </c>
      <c r="C1755" s="30">
        <v>0.25</v>
      </c>
      <c r="D1755" s="28">
        <f>YEAR(TableauFlitrage[[#This Row],[Date_d_adjudication]])</f>
        <v>2023</v>
      </c>
      <c r="E1755" s="28">
        <f t="shared" si="29"/>
        <v>9</v>
      </c>
      <c r="F1755" s="15">
        <v>45188</v>
      </c>
      <c r="G1755" s="28">
        <v>98.412103000000002</v>
      </c>
      <c r="H1755" s="15">
        <v>45281</v>
      </c>
      <c r="I1755">
        <v>109</v>
      </c>
      <c r="J1755">
        <v>10000</v>
      </c>
      <c r="K1755" s="28">
        <v>6.3830999999999998</v>
      </c>
    </row>
    <row r="1756" spans="1:12" x14ac:dyDescent="0.2">
      <c r="A1756" s="28" t="s">
        <v>8</v>
      </c>
      <c r="B1756" s="2" t="s">
        <v>29</v>
      </c>
      <c r="C1756" s="30">
        <v>0.5</v>
      </c>
      <c r="D1756" s="28">
        <f>YEAR(TableauFlitrage[[#This Row],[Date_d_adjudication]])</f>
        <v>2023</v>
      </c>
      <c r="E1756" s="28">
        <f t="shared" si="29"/>
        <v>9</v>
      </c>
      <c r="F1756" s="15">
        <v>45188</v>
      </c>
      <c r="G1756" s="28">
        <v>96.813283999999996</v>
      </c>
      <c r="H1756" s="15">
        <v>45372</v>
      </c>
      <c r="I1756">
        <v>26.22</v>
      </c>
      <c r="J1756">
        <v>10000</v>
      </c>
      <c r="K1756" s="28">
        <v>6.5109000000000004</v>
      </c>
    </row>
    <row r="1757" spans="1:12" x14ac:dyDescent="0.2">
      <c r="A1757" s="28" t="s">
        <v>9</v>
      </c>
      <c r="B1757" s="2" t="s">
        <v>29</v>
      </c>
      <c r="C1757" s="30">
        <v>0.5</v>
      </c>
      <c r="D1757" s="28">
        <f>YEAR(TableauFlitrage[[#This Row],[Date_d_adjudication]])</f>
        <v>2023</v>
      </c>
      <c r="E1757" s="28">
        <f t="shared" si="29"/>
        <v>9</v>
      </c>
      <c r="F1757" s="15">
        <v>45189</v>
      </c>
      <c r="G1757" s="28">
        <v>96.717214999999996</v>
      </c>
      <c r="H1757" s="15">
        <v>45373</v>
      </c>
      <c r="I1757">
        <v>35.882399999999997</v>
      </c>
      <c r="J1757">
        <v>8500</v>
      </c>
      <c r="K1757" s="28">
        <v>6.7138</v>
      </c>
    </row>
    <row r="1758" spans="1:12" x14ac:dyDescent="0.2">
      <c r="A1758" s="28" t="s">
        <v>11</v>
      </c>
      <c r="B1758" s="2" t="s">
        <v>29</v>
      </c>
      <c r="C1758" s="30">
        <v>0.5</v>
      </c>
      <c r="D1758" s="28">
        <f>YEAR(TableauFlitrage[[#This Row],[Date_d_adjudication]])</f>
        <v>2023</v>
      </c>
      <c r="E1758" s="28">
        <f t="shared" si="29"/>
        <v>9</v>
      </c>
      <c r="F1758" s="15">
        <v>45189</v>
      </c>
      <c r="G1758" s="28">
        <v>96.590456000000003</v>
      </c>
      <c r="H1758" s="15">
        <v>45373</v>
      </c>
      <c r="I1758">
        <v>81.59</v>
      </c>
      <c r="J1758">
        <v>10000</v>
      </c>
      <c r="K1758" s="28">
        <v>6.9821999999999997</v>
      </c>
    </row>
    <row r="1759" spans="1:12" x14ac:dyDescent="0.2">
      <c r="A1759" s="28" t="s">
        <v>9</v>
      </c>
      <c r="B1759" t="s">
        <v>30</v>
      </c>
      <c r="C1759" s="30" t="s">
        <v>54</v>
      </c>
      <c r="D1759" s="28">
        <f>YEAR(TableauFlitrage[[#This Row],[Date_d_adjudication]])</f>
        <v>2023</v>
      </c>
      <c r="E1759" s="28">
        <f t="shared" si="29"/>
        <v>9</v>
      </c>
      <c r="F1759" s="15">
        <v>45189</v>
      </c>
      <c r="G1759" s="28">
        <v>90.355500000000006</v>
      </c>
      <c r="H1759" s="15">
        <v>46266</v>
      </c>
      <c r="I1759">
        <v>43.924999999999997</v>
      </c>
      <c r="J1759">
        <v>20000</v>
      </c>
      <c r="K1759" s="28">
        <v>5.5</v>
      </c>
      <c r="L1759">
        <v>9.26</v>
      </c>
    </row>
    <row r="1760" spans="1:12" x14ac:dyDescent="0.2">
      <c r="A1760" s="28" t="s">
        <v>19</v>
      </c>
      <c r="B1760" s="2" t="s">
        <v>29</v>
      </c>
      <c r="C1760" s="30">
        <v>0.5</v>
      </c>
      <c r="D1760" s="28">
        <f>YEAR(TableauFlitrage[[#This Row],[Date_d_adjudication]])</f>
        <v>2023</v>
      </c>
      <c r="E1760" s="28">
        <f t="shared" si="29"/>
        <v>9</v>
      </c>
      <c r="F1760" s="15">
        <v>45194</v>
      </c>
      <c r="G1760" s="28">
        <v>99.368059000000002</v>
      </c>
      <c r="H1760" s="15">
        <v>45231</v>
      </c>
      <c r="I1760">
        <v>97.561000000000007</v>
      </c>
      <c r="J1760">
        <v>7175</v>
      </c>
      <c r="K1760" s="28">
        <v>6.5412999999999997</v>
      </c>
    </row>
    <row r="1761" spans="1:12" x14ac:dyDescent="0.2">
      <c r="A1761" s="28" t="s">
        <v>14</v>
      </c>
      <c r="B1761" t="s">
        <v>30</v>
      </c>
      <c r="C1761" s="30" t="s">
        <v>55</v>
      </c>
      <c r="D1761" s="28">
        <f>YEAR(TableauFlitrage[[#This Row],[Date_d_adjudication]])</f>
        <v>2023</v>
      </c>
      <c r="E1761" s="28">
        <f t="shared" si="29"/>
        <v>9</v>
      </c>
      <c r="F1761" s="15">
        <v>45194</v>
      </c>
      <c r="G1761" s="28">
        <v>89.803299999999993</v>
      </c>
      <c r="H1761" s="15">
        <v>46981</v>
      </c>
      <c r="I1761">
        <v>100.05</v>
      </c>
      <c r="J1761">
        <v>10000</v>
      </c>
      <c r="K1761" s="28">
        <v>7</v>
      </c>
      <c r="L1761">
        <v>9.6199999999999992</v>
      </c>
    </row>
    <row r="1762" spans="1:12" x14ac:dyDescent="0.2">
      <c r="A1762" s="28" t="s">
        <v>8</v>
      </c>
      <c r="B1762" s="2" t="s">
        <v>29</v>
      </c>
      <c r="C1762" s="30">
        <v>0.5</v>
      </c>
      <c r="D1762" s="28">
        <f>YEAR(TableauFlitrage[[#This Row],[Date_d_adjudication]])</f>
        <v>2023</v>
      </c>
      <c r="E1762" s="28">
        <f t="shared" si="29"/>
        <v>9</v>
      </c>
      <c r="F1762" s="15">
        <v>45195</v>
      </c>
      <c r="G1762" s="28">
        <v>96.822941999999998</v>
      </c>
      <c r="H1762" s="15">
        <v>45372</v>
      </c>
      <c r="I1762">
        <v>83.84</v>
      </c>
      <c r="J1762">
        <v>10000</v>
      </c>
      <c r="K1762" s="28">
        <v>6.7500999999999998</v>
      </c>
    </row>
    <row r="1763" spans="1:12" x14ac:dyDescent="0.2">
      <c r="A1763" s="28" t="s">
        <v>8</v>
      </c>
      <c r="B1763" s="2" t="s">
        <v>29</v>
      </c>
      <c r="C1763" s="30">
        <v>0.25</v>
      </c>
      <c r="D1763" s="28">
        <f>YEAR(TableauFlitrage[[#This Row],[Date_d_adjudication]])</f>
        <v>2023</v>
      </c>
      <c r="E1763" s="28">
        <f t="shared" si="29"/>
        <v>9</v>
      </c>
      <c r="F1763" s="15">
        <v>45195</v>
      </c>
      <c r="G1763" s="28">
        <v>98.421460999999994</v>
      </c>
      <c r="H1763" s="15">
        <v>45288</v>
      </c>
      <c r="I1763">
        <v>84.646699999999996</v>
      </c>
      <c r="J1763">
        <v>15000</v>
      </c>
      <c r="K1763" s="28">
        <v>6.3449</v>
      </c>
    </row>
    <row r="1764" spans="1:12" x14ac:dyDescent="0.2">
      <c r="A1764" s="28" t="s">
        <v>8</v>
      </c>
      <c r="B1764" t="s">
        <v>30</v>
      </c>
      <c r="C1764" s="30" t="s">
        <v>53</v>
      </c>
      <c r="D1764" s="28">
        <f>YEAR(TableauFlitrage[[#This Row],[Date_d_adjudication]])</f>
        <v>2023</v>
      </c>
      <c r="E1764" s="28">
        <f t="shared" si="29"/>
        <v>9</v>
      </c>
      <c r="F1764" s="15">
        <v>45195</v>
      </c>
      <c r="G1764" s="28">
        <v>96.624899999999997</v>
      </c>
      <c r="H1764" s="15">
        <v>45830</v>
      </c>
      <c r="I1764">
        <v>17.946000000000002</v>
      </c>
      <c r="J1764">
        <v>5000</v>
      </c>
      <c r="K1764" s="28">
        <v>5.5</v>
      </c>
      <c r="L1764">
        <v>7.35</v>
      </c>
    </row>
    <row r="1765" spans="1:12" x14ac:dyDescent="0.2">
      <c r="A1765" s="28" t="s">
        <v>9</v>
      </c>
      <c r="B1765" s="2" t="s">
        <v>29</v>
      </c>
      <c r="C1765" s="30">
        <v>0.5</v>
      </c>
      <c r="D1765" s="28">
        <f>YEAR(TableauFlitrage[[#This Row],[Date_d_adjudication]])</f>
        <v>2023</v>
      </c>
      <c r="E1765" s="28">
        <f t="shared" si="29"/>
        <v>9</v>
      </c>
      <c r="F1765" s="15">
        <v>45196</v>
      </c>
      <c r="G1765" s="28">
        <v>96.884092999999993</v>
      </c>
      <c r="H1765" s="15">
        <v>45380</v>
      </c>
      <c r="I1765">
        <v>180.0667</v>
      </c>
      <c r="J1765">
        <v>7500</v>
      </c>
      <c r="K1765" s="28">
        <v>6.3616000000000001</v>
      </c>
    </row>
    <row r="1766" spans="1:12" x14ac:dyDescent="0.2">
      <c r="A1766" s="28" t="s">
        <v>7</v>
      </c>
      <c r="B1766" s="2" t="s">
        <v>29</v>
      </c>
      <c r="C1766" s="30">
        <v>0.5</v>
      </c>
      <c r="D1766" s="28">
        <f>YEAR(TableauFlitrage[[#This Row],[Date_d_adjudication]])</f>
        <v>2023</v>
      </c>
      <c r="E1766" s="28">
        <f t="shared" si="29"/>
        <v>10</v>
      </c>
      <c r="F1766" s="15">
        <v>45201</v>
      </c>
      <c r="G1766" s="28">
        <v>97.175540999999996</v>
      </c>
      <c r="H1766" s="15">
        <v>45385</v>
      </c>
      <c r="I1766">
        <v>82.5</v>
      </c>
      <c r="J1766">
        <v>20000</v>
      </c>
      <c r="K1766" s="28">
        <v>5.7492000000000001</v>
      </c>
    </row>
    <row r="1767" spans="1:12" x14ac:dyDescent="0.2">
      <c r="A1767" s="28" t="s">
        <v>7</v>
      </c>
      <c r="B1767" t="s">
        <v>30</v>
      </c>
      <c r="C1767" s="30" t="s">
        <v>54</v>
      </c>
      <c r="D1767" s="28">
        <f>YEAR(TableauFlitrage[[#This Row],[Date_d_adjudication]])</f>
        <v>2023</v>
      </c>
      <c r="E1767" s="28">
        <f t="shared" ref="E1767:E1823" si="30">MONTH(F1767)</f>
        <v>10</v>
      </c>
      <c r="F1767" s="15">
        <v>45201</v>
      </c>
      <c r="G1767" s="28">
        <v>100</v>
      </c>
      <c r="H1767" s="15">
        <v>46299</v>
      </c>
      <c r="I1767">
        <v>100</v>
      </c>
      <c r="J1767">
        <v>10000</v>
      </c>
      <c r="K1767" s="28">
        <v>5</v>
      </c>
    </row>
    <row r="1768" spans="1:12" x14ac:dyDescent="0.2">
      <c r="A1768" s="28" t="s">
        <v>8</v>
      </c>
      <c r="B1768" s="2" t="s">
        <v>29</v>
      </c>
      <c r="C1768" s="30">
        <v>0.5</v>
      </c>
      <c r="D1768" s="28">
        <f>YEAR(TableauFlitrage[[#This Row],[Date_d_adjudication]])</f>
        <v>2023</v>
      </c>
      <c r="E1768" s="28">
        <f t="shared" si="30"/>
        <v>10</v>
      </c>
      <c r="F1768" s="15">
        <v>45202</v>
      </c>
      <c r="G1768" s="28">
        <v>96.680216999999999</v>
      </c>
      <c r="H1768" s="15">
        <v>45386</v>
      </c>
      <c r="I1768">
        <v>64.36</v>
      </c>
      <c r="J1768">
        <v>15000</v>
      </c>
      <c r="K1768" s="28">
        <v>6.7920999999999996</v>
      </c>
    </row>
    <row r="1769" spans="1:12" x14ac:dyDescent="0.2">
      <c r="A1769" s="28" t="s">
        <v>8</v>
      </c>
      <c r="B1769" t="s">
        <v>30</v>
      </c>
      <c r="C1769" s="30" t="s">
        <v>55</v>
      </c>
      <c r="D1769" s="28">
        <f>YEAR(TableauFlitrage[[#This Row],[Date_d_adjudication]])</f>
        <v>2023</v>
      </c>
      <c r="E1769" s="28">
        <f t="shared" si="30"/>
        <v>10</v>
      </c>
      <c r="F1769" s="15">
        <v>45202</v>
      </c>
      <c r="G1769" s="28">
        <v>92.742999999999995</v>
      </c>
      <c r="H1769" s="15">
        <v>46933</v>
      </c>
      <c r="I1769">
        <v>78.05</v>
      </c>
      <c r="J1769">
        <v>5000</v>
      </c>
      <c r="K1769" s="28">
        <v>6.5</v>
      </c>
      <c r="L1769">
        <v>8.3000000000000007</v>
      </c>
    </row>
    <row r="1770" spans="1:12" x14ac:dyDescent="0.2">
      <c r="A1770" s="28" t="s">
        <v>8</v>
      </c>
      <c r="B1770" t="s">
        <v>30</v>
      </c>
      <c r="C1770" s="30" t="s">
        <v>54</v>
      </c>
      <c r="D1770" s="28">
        <f>YEAR(TableauFlitrage[[#This Row],[Date_d_adjudication]])</f>
        <v>2023</v>
      </c>
      <c r="E1770" s="28">
        <f t="shared" si="30"/>
        <v>10</v>
      </c>
      <c r="F1770" s="15">
        <v>45202</v>
      </c>
      <c r="G1770" s="28">
        <v>92.3155</v>
      </c>
      <c r="H1770" s="15">
        <v>46300</v>
      </c>
      <c r="I1770">
        <v>85.116699999999994</v>
      </c>
      <c r="J1770">
        <v>15000</v>
      </c>
      <c r="K1770" s="28">
        <v>5.75</v>
      </c>
      <c r="L1770">
        <v>8.7200000000000006</v>
      </c>
    </row>
    <row r="1771" spans="1:12" x14ac:dyDescent="0.2">
      <c r="A1771" s="28" t="s">
        <v>9</v>
      </c>
      <c r="B1771" s="2" t="s">
        <v>29</v>
      </c>
      <c r="C1771" s="30">
        <v>0.25</v>
      </c>
      <c r="D1771" s="28">
        <f>YEAR(TableauFlitrage[[#This Row],[Date_d_adjudication]])</f>
        <v>2023</v>
      </c>
      <c r="E1771" s="28">
        <f t="shared" si="30"/>
        <v>10</v>
      </c>
      <c r="F1771" s="15">
        <v>45203</v>
      </c>
      <c r="G1771" s="28">
        <v>98.477103999999997</v>
      </c>
      <c r="H1771" s="15">
        <v>45296</v>
      </c>
      <c r="I1771">
        <v>81.293300000000002</v>
      </c>
      <c r="J1771">
        <v>7500</v>
      </c>
      <c r="K1771" s="28">
        <v>6.1177999999999999</v>
      </c>
    </row>
    <row r="1772" spans="1:12" x14ac:dyDescent="0.2">
      <c r="A1772" s="28" t="s">
        <v>14</v>
      </c>
      <c r="B1772" t="s">
        <v>30</v>
      </c>
      <c r="C1772" s="30" t="s">
        <v>57</v>
      </c>
      <c r="D1772" s="28">
        <f>YEAR(TableauFlitrage[[#This Row],[Date_d_adjudication]])</f>
        <v>2023</v>
      </c>
      <c r="E1772" s="28">
        <f t="shared" si="30"/>
        <v>10</v>
      </c>
      <c r="F1772" s="15">
        <v>45208</v>
      </c>
      <c r="G1772" s="28">
        <v>88.007000000000005</v>
      </c>
      <c r="H1772" s="15">
        <v>47402</v>
      </c>
      <c r="I1772">
        <v>100.4</v>
      </c>
      <c r="J1772">
        <v>10000</v>
      </c>
      <c r="K1772" s="28">
        <v>7.5</v>
      </c>
      <c r="L1772">
        <v>10.220000000000001</v>
      </c>
    </row>
    <row r="1773" spans="1:12" x14ac:dyDescent="0.2">
      <c r="A1773" s="28" t="s">
        <v>8</v>
      </c>
      <c r="B1773" s="2" t="s">
        <v>29</v>
      </c>
      <c r="C1773" s="30">
        <v>0.25</v>
      </c>
      <c r="D1773" s="28">
        <f>YEAR(TableauFlitrage[[#This Row],[Date_d_adjudication]])</f>
        <v>2023</v>
      </c>
      <c r="E1773" s="28">
        <f t="shared" si="30"/>
        <v>10</v>
      </c>
      <c r="F1773" s="15">
        <v>45209</v>
      </c>
      <c r="G1773" s="28">
        <v>98.365081000000004</v>
      </c>
      <c r="H1773" s="15">
        <v>45302</v>
      </c>
      <c r="I1773">
        <v>59.2333</v>
      </c>
      <c r="J1773">
        <v>15000</v>
      </c>
      <c r="K1773" s="28">
        <v>6.5753000000000004</v>
      </c>
    </row>
    <row r="1774" spans="1:12" x14ac:dyDescent="0.2">
      <c r="A1774" s="28" t="s">
        <v>8</v>
      </c>
      <c r="B1774" s="2" t="s">
        <v>29</v>
      </c>
      <c r="C1774" s="30">
        <v>0.5</v>
      </c>
      <c r="D1774" s="28">
        <f>YEAR(TableauFlitrage[[#This Row],[Date_d_adjudication]])</f>
        <v>2023</v>
      </c>
      <c r="E1774" s="28">
        <f t="shared" si="30"/>
        <v>10</v>
      </c>
      <c r="F1774" s="15">
        <v>45209</v>
      </c>
      <c r="G1774" s="28">
        <v>96.701494999999994</v>
      </c>
      <c r="H1774" s="15">
        <v>45393</v>
      </c>
      <c r="I1774">
        <v>79.95</v>
      </c>
      <c r="J1774">
        <v>10000</v>
      </c>
      <c r="K1774" s="28">
        <v>6.7470999999999997</v>
      </c>
    </row>
    <row r="1775" spans="1:12" x14ac:dyDescent="0.2">
      <c r="A1775" s="28" t="s">
        <v>9</v>
      </c>
      <c r="B1775" s="2" t="s">
        <v>29</v>
      </c>
      <c r="C1775" s="30">
        <v>0.5</v>
      </c>
      <c r="D1775" s="28">
        <f>YEAR(TableauFlitrage[[#This Row],[Date_d_adjudication]])</f>
        <v>2023</v>
      </c>
      <c r="E1775" s="28">
        <f t="shared" si="30"/>
        <v>10</v>
      </c>
      <c r="F1775" s="15">
        <v>45210</v>
      </c>
      <c r="G1775" s="28">
        <v>96.807090000000002</v>
      </c>
      <c r="H1775" s="15">
        <v>45394</v>
      </c>
      <c r="I1775">
        <v>103</v>
      </c>
      <c r="J1775">
        <v>8500</v>
      </c>
      <c r="K1775" s="28">
        <v>6.524</v>
      </c>
    </row>
    <row r="1776" spans="1:12" x14ac:dyDescent="0.2">
      <c r="A1776" s="28" t="s">
        <v>11</v>
      </c>
      <c r="B1776" s="2" t="s">
        <v>29</v>
      </c>
      <c r="C1776" s="30">
        <v>1</v>
      </c>
      <c r="D1776" s="28">
        <f>YEAR(TableauFlitrage[[#This Row],[Date_d_adjudication]])</f>
        <v>2023</v>
      </c>
      <c r="E1776" s="28">
        <f t="shared" si="30"/>
        <v>10</v>
      </c>
      <c r="F1776" s="15">
        <v>45210</v>
      </c>
      <c r="G1776" s="28">
        <v>93.124443999999997</v>
      </c>
      <c r="H1776" s="15">
        <v>45576</v>
      </c>
      <c r="I1776">
        <v>48.014299999999999</v>
      </c>
      <c r="J1776">
        <v>7000</v>
      </c>
      <c r="K1776" s="28">
        <v>7.3021000000000003</v>
      </c>
    </row>
    <row r="1777" spans="1:12" x14ac:dyDescent="0.2">
      <c r="A1777" s="28" t="s">
        <v>9</v>
      </c>
      <c r="B1777" t="s">
        <v>30</v>
      </c>
      <c r="C1777" s="30" t="s">
        <v>53</v>
      </c>
      <c r="D1777" s="28">
        <f>YEAR(TableauFlitrage[[#This Row],[Date_d_adjudication]])</f>
        <v>2023</v>
      </c>
      <c r="E1777" s="28">
        <f t="shared" si="30"/>
        <v>10</v>
      </c>
      <c r="F1777" s="15">
        <v>45210</v>
      </c>
      <c r="G1777" s="28">
        <v>91.679000000000002</v>
      </c>
      <c r="H1777" s="15">
        <v>45943</v>
      </c>
      <c r="I1777">
        <v>5.5225</v>
      </c>
      <c r="J1777">
        <v>20000</v>
      </c>
      <c r="K1777" s="28">
        <v>5</v>
      </c>
      <c r="L1777">
        <v>9.68</v>
      </c>
    </row>
    <row r="1778" spans="1:12" x14ac:dyDescent="0.2">
      <c r="A1778" s="28" t="s">
        <v>7</v>
      </c>
      <c r="B1778" s="2" t="s">
        <v>29</v>
      </c>
      <c r="C1778" s="30">
        <v>0.5</v>
      </c>
      <c r="D1778" s="28">
        <f>YEAR(TableauFlitrage[[#This Row],[Date_d_adjudication]])</f>
        <v>2023</v>
      </c>
      <c r="E1778" s="28">
        <f t="shared" si="30"/>
        <v>10</v>
      </c>
      <c r="F1778" s="15">
        <v>45215</v>
      </c>
      <c r="G1778" s="28">
        <v>97.172618</v>
      </c>
      <c r="H1778" s="15">
        <v>45399</v>
      </c>
      <c r="I1778">
        <v>99.804400000000001</v>
      </c>
      <c r="J1778">
        <v>45000</v>
      </c>
      <c r="K1778" s="28">
        <v>5.7553000000000001</v>
      </c>
    </row>
    <row r="1779" spans="1:12" x14ac:dyDescent="0.2">
      <c r="A1779" s="28" t="s">
        <v>7</v>
      </c>
      <c r="B1779" s="2" t="s">
        <v>29</v>
      </c>
      <c r="C1779" s="30">
        <v>1</v>
      </c>
      <c r="D1779" s="28">
        <f>YEAR(TableauFlitrage[[#This Row],[Date_d_adjudication]])</f>
        <v>2023</v>
      </c>
      <c r="E1779" s="28">
        <f t="shared" si="30"/>
        <v>10</v>
      </c>
      <c r="F1779" s="15">
        <v>45215</v>
      </c>
      <c r="G1779" s="28">
        <v>94.084999999999994</v>
      </c>
      <c r="H1779" s="15">
        <v>45581</v>
      </c>
      <c r="I1779">
        <v>140</v>
      </c>
      <c r="J1779">
        <v>10000</v>
      </c>
      <c r="K1779" s="28">
        <v>6.2178000000000004</v>
      </c>
    </row>
    <row r="1780" spans="1:12" x14ac:dyDescent="0.2">
      <c r="A1780" s="28" t="s">
        <v>8</v>
      </c>
      <c r="B1780" s="2" t="s">
        <v>29</v>
      </c>
      <c r="C1780" s="30">
        <v>0.25</v>
      </c>
      <c r="D1780" s="28">
        <f>YEAR(TableauFlitrage[[#This Row],[Date_d_adjudication]])</f>
        <v>2023</v>
      </c>
      <c r="E1780" s="28">
        <f t="shared" si="30"/>
        <v>10</v>
      </c>
      <c r="F1780" s="15">
        <v>45216</v>
      </c>
      <c r="G1780" s="28">
        <v>98.391176999999999</v>
      </c>
      <c r="H1780" s="15">
        <v>45309</v>
      </c>
      <c r="I1780">
        <v>70.6267</v>
      </c>
      <c r="J1780">
        <v>15000</v>
      </c>
      <c r="K1780" s="28">
        <v>6.4686000000000003</v>
      </c>
    </row>
    <row r="1781" spans="1:12" x14ac:dyDescent="0.2">
      <c r="A1781" s="28" t="s">
        <v>8</v>
      </c>
      <c r="B1781" s="2" t="s">
        <v>29</v>
      </c>
      <c r="C1781" s="30">
        <v>0.5</v>
      </c>
      <c r="D1781" s="28">
        <f>YEAR(TableauFlitrage[[#This Row],[Date_d_adjudication]])</f>
        <v>2023</v>
      </c>
      <c r="E1781" s="28">
        <f t="shared" si="30"/>
        <v>10</v>
      </c>
      <c r="F1781" s="15">
        <v>45216</v>
      </c>
      <c r="G1781" s="28">
        <v>96.597477999999995</v>
      </c>
      <c r="H1781" s="15">
        <v>45400</v>
      </c>
      <c r="I1781">
        <v>45.6</v>
      </c>
      <c r="J1781">
        <v>10000</v>
      </c>
      <c r="K1781" s="28">
        <v>6.9672999999999998</v>
      </c>
    </row>
    <row r="1782" spans="1:12" x14ac:dyDescent="0.2">
      <c r="A1782" s="28" t="s">
        <v>8</v>
      </c>
      <c r="B1782" t="s">
        <v>30</v>
      </c>
      <c r="C1782" s="30" t="s">
        <v>54</v>
      </c>
      <c r="D1782" s="28">
        <f>YEAR(TableauFlitrage[[#This Row],[Date_d_adjudication]])</f>
        <v>2023</v>
      </c>
      <c r="E1782" s="28">
        <f t="shared" si="30"/>
        <v>10</v>
      </c>
      <c r="F1782" s="15">
        <v>45216</v>
      </c>
      <c r="G1782" s="28">
        <v>93.077600000000004</v>
      </c>
      <c r="H1782" s="15">
        <v>46251</v>
      </c>
      <c r="I1782">
        <v>33.148200000000003</v>
      </c>
      <c r="J1782">
        <v>10000</v>
      </c>
      <c r="K1782" s="28">
        <v>6</v>
      </c>
      <c r="L1782">
        <v>8.67</v>
      </c>
    </row>
    <row r="1783" spans="1:12" x14ac:dyDescent="0.2">
      <c r="A1783" s="28" t="s">
        <v>9</v>
      </c>
      <c r="B1783" s="2" t="s">
        <v>29</v>
      </c>
      <c r="C1783" s="30">
        <v>0.5</v>
      </c>
      <c r="D1783" s="28">
        <f>YEAR(TableauFlitrage[[#This Row],[Date_d_adjudication]])</f>
        <v>2023</v>
      </c>
      <c r="E1783" s="28">
        <f t="shared" si="30"/>
        <v>10</v>
      </c>
      <c r="F1783" s="15">
        <v>45217</v>
      </c>
      <c r="G1783" s="28">
        <v>96.719211000000001</v>
      </c>
      <c r="H1783" s="15">
        <v>45401</v>
      </c>
      <c r="I1783">
        <v>137.1474</v>
      </c>
      <c r="J1783">
        <v>9500</v>
      </c>
      <c r="K1783" s="28">
        <v>6.7096</v>
      </c>
    </row>
    <row r="1784" spans="1:12" x14ac:dyDescent="0.2">
      <c r="A1784" s="28" t="s">
        <v>7</v>
      </c>
      <c r="B1784" s="2" t="s">
        <v>29</v>
      </c>
      <c r="C1784" s="30">
        <v>0.5</v>
      </c>
      <c r="D1784" s="28">
        <f>YEAR(TableauFlitrage[[#This Row],[Date_d_adjudication]])</f>
        <v>2023</v>
      </c>
      <c r="E1784" s="28">
        <f t="shared" si="30"/>
        <v>10</v>
      </c>
      <c r="F1784" s="15">
        <v>45222</v>
      </c>
      <c r="G1784" s="28">
        <v>97.118333000000007</v>
      </c>
      <c r="H1784" s="15">
        <v>45406</v>
      </c>
      <c r="I1784">
        <v>170</v>
      </c>
      <c r="J1784">
        <v>15000</v>
      </c>
      <c r="K1784" s="28">
        <v>5.8691000000000004</v>
      </c>
    </row>
    <row r="1785" spans="1:12" x14ac:dyDescent="0.2">
      <c r="A1785" s="28" t="s">
        <v>8</v>
      </c>
      <c r="B1785" s="2" t="s">
        <v>29</v>
      </c>
      <c r="C1785" s="30">
        <v>0.25</v>
      </c>
      <c r="D1785" s="28">
        <f>YEAR(TableauFlitrage[[#This Row],[Date_d_adjudication]])</f>
        <v>2023</v>
      </c>
      <c r="E1785" s="28">
        <f t="shared" si="30"/>
        <v>10</v>
      </c>
      <c r="F1785" s="15">
        <v>45223</v>
      </c>
      <c r="G1785" s="28">
        <v>98.385065999999995</v>
      </c>
      <c r="H1785" s="15">
        <v>45316</v>
      </c>
      <c r="I1785">
        <v>100.5</v>
      </c>
      <c r="J1785">
        <v>10000</v>
      </c>
      <c r="K1785" s="28">
        <v>6.4935999999999998</v>
      </c>
    </row>
    <row r="1786" spans="1:12" x14ac:dyDescent="0.2">
      <c r="A1786" s="28" t="s">
        <v>8</v>
      </c>
      <c r="B1786" s="2" t="s">
        <v>29</v>
      </c>
      <c r="C1786" s="30">
        <v>0.5</v>
      </c>
      <c r="D1786" s="28">
        <f>YEAR(TableauFlitrage[[#This Row],[Date_d_adjudication]])</f>
        <v>2023</v>
      </c>
      <c r="E1786" s="28">
        <f t="shared" si="30"/>
        <v>10</v>
      </c>
      <c r="F1786" s="15">
        <v>45223</v>
      </c>
      <c r="G1786" s="28">
        <v>96.823289000000003</v>
      </c>
      <c r="H1786" s="15">
        <v>45400</v>
      </c>
      <c r="I1786">
        <v>59.66</v>
      </c>
      <c r="J1786">
        <v>10000</v>
      </c>
      <c r="K1786" s="28">
        <v>6.7493999999999996</v>
      </c>
    </row>
    <row r="1787" spans="1:12" x14ac:dyDescent="0.2">
      <c r="A1787" s="28" t="s">
        <v>8</v>
      </c>
      <c r="B1787" s="2" t="s">
        <v>29</v>
      </c>
      <c r="C1787" s="30">
        <v>1</v>
      </c>
      <c r="D1787" s="28">
        <f>YEAR(TableauFlitrage[[#This Row],[Date_d_adjudication]])</f>
        <v>2023</v>
      </c>
      <c r="E1787" s="28">
        <f t="shared" si="30"/>
        <v>10</v>
      </c>
      <c r="F1787" s="15">
        <v>45223</v>
      </c>
      <c r="G1787" s="28">
        <v>93.555948000000001</v>
      </c>
      <c r="H1787" s="15">
        <v>45589</v>
      </c>
      <c r="I1787">
        <v>89.547600000000003</v>
      </c>
      <c r="J1787">
        <v>21000</v>
      </c>
      <c r="K1787" s="28">
        <v>6.8121999999999998</v>
      </c>
    </row>
    <row r="1788" spans="1:12" x14ac:dyDescent="0.2">
      <c r="A1788" s="28" t="s">
        <v>10</v>
      </c>
      <c r="B1788" s="2" t="s">
        <v>29</v>
      </c>
      <c r="C1788" s="30">
        <v>1</v>
      </c>
      <c r="D1788" s="28">
        <f>YEAR(TableauFlitrage[[#This Row],[Date_d_adjudication]])</f>
        <v>2023</v>
      </c>
      <c r="E1788" s="28">
        <f t="shared" si="30"/>
        <v>10</v>
      </c>
      <c r="F1788" s="15">
        <v>45223</v>
      </c>
      <c r="G1788" s="28">
        <v>93.528889000000007</v>
      </c>
      <c r="H1788" s="15">
        <v>45589</v>
      </c>
      <c r="I1788">
        <v>148.99</v>
      </c>
      <c r="J1788">
        <v>10000</v>
      </c>
      <c r="K1788" s="28">
        <v>6.8428000000000004</v>
      </c>
    </row>
    <row r="1789" spans="1:12" x14ac:dyDescent="0.2">
      <c r="A1789" s="28" t="s">
        <v>8</v>
      </c>
      <c r="B1789" t="s">
        <v>30</v>
      </c>
      <c r="C1789" s="30" t="s">
        <v>53</v>
      </c>
      <c r="D1789" s="28">
        <f>YEAR(TableauFlitrage[[#This Row],[Date_d_adjudication]])</f>
        <v>2023</v>
      </c>
      <c r="E1789" s="28">
        <f t="shared" si="30"/>
        <v>10</v>
      </c>
      <c r="F1789" s="15">
        <v>45223</v>
      </c>
      <c r="G1789" s="28">
        <v>93.003399999999999</v>
      </c>
      <c r="H1789" s="15">
        <v>45956</v>
      </c>
      <c r="I1789">
        <v>66.490300000000005</v>
      </c>
      <c r="J1789">
        <v>40000</v>
      </c>
      <c r="K1789" s="28">
        <v>5.4</v>
      </c>
      <c r="L1789">
        <v>9.32</v>
      </c>
    </row>
    <row r="1790" spans="1:12" x14ac:dyDescent="0.2">
      <c r="A1790" s="28" t="s">
        <v>8</v>
      </c>
      <c r="B1790" t="s">
        <v>30</v>
      </c>
      <c r="C1790" s="30" t="s">
        <v>54</v>
      </c>
      <c r="D1790" s="28">
        <f>YEAR(TableauFlitrage[[#This Row],[Date_d_adjudication]])</f>
        <v>2023</v>
      </c>
      <c r="E1790" s="28">
        <f t="shared" si="30"/>
        <v>10</v>
      </c>
      <c r="F1790" s="15">
        <v>45223</v>
      </c>
      <c r="G1790" s="28">
        <v>92.002200000000002</v>
      </c>
      <c r="H1790" s="15">
        <v>46321</v>
      </c>
      <c r="I1790">
        <v>34.200699999999998</v>
      </c>
      <c r="J1790">
        <v>26000</v>
      </c>
      <c r="K1790" s="28">
        <v>5.9</v>
      </c>
      <c r="L1790">
        <v>9</v>
      </c>
    </row>
    <row r="1791" spans="1:12" x14ac:dyDescent="0.2">
      <c r="A1791" s="28" t="s">
        <v>8</v>
      </c>
      <c r="B1791" t="s">
        <v>30</v>
      </c>
      <c r="C1791" s="30" t="s">
        <v>56</v>
      </c>
      <c r="D1791" s="28">
        <f>YEAR(TableauFlitrage[[#This Row],[Date_d_adjudication]])</f>
        <v>2023</v>
      </c>
      <c r="E1791" s="28">
        <f t="shared" si="30"/>
        <v>10</v>
      </c>
      <c r="F1791" s="15">
        <v>45223</v>
      </c>
      <c r="G1791" s="28">
        <v>91.069800000000001</v>
      </c>
      <c r="H1791" s="15">
        <v>46686</v>
      </c>
      <c r="I1791">
        <v>30.714300000000001</v>
      </c>
      <c r="J1791">
        <v>7000</v>
      </c>
      <c r="K1791" s="28">
        <v>6.15</v>
      </c>
      <c r="L1791">
        <v>8.85</v>
      </c>
    </row>
    <row r="1792" spans="1:12" x14ac:dyDescent="0.2">
      <c r="A1792" s="28" t="s">
        <v>8</v>
      </c>
      <c r="B1792" t="s">
        <v>30</v>
      </c>
      <c r="C1792" s="30" t="s">
        <v>54</v>
      </c>
      <c r="D1792" s="28">
        <f>YEAR(TableauFlitrage[[#This Row],[Date_d_adjudication]])</f>
        <v>2023</v>
      </c>
      <c r="E1792" s="28">
        <f t="shared" si="30"/>
        <v>10</v>
      </c>
      <c r="F1792" s="15">
        <v>45223</v>
      </c>
      <c r="G1792" s="28">
        <v>100</v>
      </c>
      <c r="H1792" s="15">
        <v>46321</v>
      </c>
      <c r="I1792">
        <v>100</v>
      </c>
      <c r="J1792">
        <v>67295</v>
      </c>
      <c r="K1792" s="28">
        <v>6</v>
      </c>
      <c r="L1792">
        <v>6</v>
      </c>
    </row>
    <row r="1793" spans="1:12" x14ac:dyDescent="0.2">
      <c r="A1793" s="28" t="s">
        <v>8</v>
      </c>
      <c r="B1793" t="s">
        <v>30</v>
      </c>
      <c r="C1793" s="30" t="s">
        <v>56</v>
      </c>
      <c r="D1793" s="28">
        <f>YEAR(TableauFlitrage[[#This Row],[Date_d_adjudication]])</f>
        <v>2023</v>
      </c>
      <c r="E1793" s="28">
        <f t="shared" si="30"/>
        <v>10</v>
      </c>
      <c r="F1793" s="15">
        <v>45223</v>
      </c>
      <c r="G1793" s="28">
        <v>100</v>
      </c>
      <c r="H1793" s="15">
        <v>46686</v>
      </c>
      <c r="I1793">
        <v>100</v>
      </c>
      <c r="J1793">
        <v>67295</v>
      </c>
      <c r="K1793" s="28">
        <v>6</v>
      </c>
      <c r="L1793">
        <v>6</v>
      </c>
    </row>
    <row r="1794" spans="1:12" x14ac:dyDescent="0.2">
      <c r="A1794" s="28" t="s">
        <v>8</v>
      </c>
      <c r="B1794" t="s">
        <v>30</v>
      </c>
      <c r="C1794" s="30" t="s">
        <v>55</v>
      </c>
      <c r="D1794" s="28">
        <f>YEAR(TableauFlitrage[[#This Row],[Date_d_adjudication]])</f>
        <v>2023</v>
      </c>
      <c r="E1794" s="28">
        <f t="shared" si="30"/>
        <v>10</v>
      </c>
      <c r="F1794" s="15">
        <v>45223</v>
      </c>
      <c r="G1794" s="28">
        <v>100</v>
      </c>
      <c r="H1794" s="15">
        <v>47052</v>
      </c>
      <c r="I1794">
        <v>100</v>
      </c>
      <c r="J1794">
        <v>67295</v>
      </c>
      <c r="K1794" s="28">
        <v>6</v>
      </c>
      <c r="L1794">
        <v>6</v>
      </c>
    </row>
    <row r="1795" spans="1:12" x14ac:dyDescent="0.2">
      <c r="A1795" s="28" t="s">
        <v>8</v>
      </c>
      <c r="B1795" t="s">
        <v>30</v>
      </c>
      <c r="C1795" s="30" t="s">
        <v>57</v>
      </c>
      <c r="D1795" s="28">
        <f>YEAR(TableauFlitrage[[#This Row],[Date_d_adjudication]])</f>
        <v>2023</v>
      </c>
      <c r="E1795" s="28">
        <f t="shared" si="30"/>
        <v>10</v>
      </c>
      <c r="F1795" s="15">
        <v>45223</v>
      </c>
      <c r="G1795" s="28">
        <v>100</v>
      </c>
      <c r="H1795" s="15">
        <v>47417</v>
      </c>
      <c r="I1795">
        <v>100</v>
      </c>
      <c r="J1795">
        <v>67295</v>
      </c>
      <c r="K1795" s="28">
        <v>6</v>
      </c>
      <c r="L1795">
        <v>6</v>
      </c>
    </row>
    <row r="1796" spans="1:12" x14ac:dyDescent="0.2">
      <c r="A1796" s="28" t="s">
        <v>9</v>
      </c>
      <c r="B1796" s="2" t="s">
        <v>29</v>
      </c>
      <c r="C1796" s="30">
        <v>0.25</v>
      </c>
      <c r="D1796" s="28">
        <f>YEAR(TableauFlitrage[[#This Row],[Date_d_adjudication]])</f>
        <v>2023</v>
      </c>
      <c r="E1796" s="28">
        <f t="shared" si="30"/>
        <v>10</v>
      </c>
      <c r="F1796" s="15">
        <v>45224</v>
      </c>
      <c r="G1796" s="28">
        <v>98.482919999999993</v>
      </c>
      <c r="H1796" s="15">
        <v>45317</v>
      </c>
      <c r="I1796">
        <v>102.24290000000001</v>
      </c>
      <c r="J1796">
        <v>7000</v>
      </c>
      <c r="K1796" s="28">
        <v>6.0941000000000001</v>
      </c>
    </row>
    <row r="1797" spans="1:12" x14ac:dyDescent="0.2">
      <c r="A1797" s="28" t="s">
        <v>11</v>
      </c>
      <c r="B1797" s="2" t="s">
        <v>29</v>
      </c>
      <c r="C1797" s="30">
        <v>0.5</v>
      </c>
      <c r="D1797" s="28">
        <f>YEAR(TableauFlitrage[[#This Row],[Date_d_adjudication]])</f>
        <v>2023</v>
      </c>
      <c r="E1797" s="28">
        <f t="shared" si="30"/>
        <v>10</v>
      </c>
      <c r="F1797" s="15">
        <v>45224</v>
      </c>
      <c r="G1797" s="28">
        <v>96.587800000000001</v>
      </c>
      <c r="H1797" s="15">
        <v>45408</v>
      </c>
      <c r="I1797">
        <v>25.3</v>
      </c>
      <c r="J1797">
        <v>10000</v>
      </c>
      <c r="K1797" s="28">
        <v>6.9878</v>
      </c>
    </row>
    <row r="1798" spans="1:12" x14ac:dyDescent="0.2">
      <c r="A1798" s="28" t="s">
        <v>11</v>
      </c>
      <c r="B1798" t="s">
        <v>30</v>
      </c>
      <c r="C1798" s="30" t="s">
        <v>54</v>
      </c>
      <c r="D1798" s="28">
        <f>YEAR(TableauFlitrage[[#This Row],[Date_d_adjudication]])</f>
        <v>2023</v>
      </c>
      <c r="E1798" s="28">
        <f t="shared" si="30"/>
        <v>10</v>
      </c>
      <c r="F1798" s="15">
        <v>45224</v>
      </c>
      <c r="G1798" s="28">
        <v>91.4285</v>
      </c>
      <c r="H1798" s="15">
        <v>46322</v>
      </c>
      <c r="I1798">
        <v>183.2038</v>
      </c>
      <c r="J1798">
        <v>10000</v>
      </c>
      <c r="K1798" s="28">
        <v>6.5</v>
      </c>
      <c r="L1798">
        <v>9.8699999999999992</v>
      </c>
    </row>
    <row r="1799" spans="1:12" x14ac:dyDescent="0.2">
      <c r="A1799" s="28" t="s">
        <v>7</v>
      </c>
      <c r="B1799" s="2" t="s">
        <v>29</v>
      </c>
      <c r="C1799" s="30">
        <v>0.25</v>
      </c>
      <c r="D1799" s="28">
        <f>YEAR(TableauFlitrage[[#This Row],[Date_d_adjudication]])</f>
        <v>2023</v>
      </c>
      <c r="E1799" s="28">
        <f t="shared" si="30"/>
        <v>10</v>
      </c>
      <c r="F1799" s="15">
        <v>45229</v>
      </c>
      <c r="G1799" s="28">
        <v>98.592000999999996</v>
      </c>
      <c r="H1799" s="15">
        <v>45322</v>
      </c>
      <c r="I1799">
        <v>96.5</v>
      </c>
      <c r="J1799">
        <v>15000</v>
      </c>
      <c r="K1799" s="28">
        <v>5.6497000000000002</v>
      </c>
    </row>
    <row r="1800" spans="1:12" x14ac:dyDescent="0.2">
      <c r="A1800" s="28" t="s">
        <v>8</v>
      </c>
      <c r="B1800" s="2" t="s">
        <v>29</v>
      </c>
      <c r="C1800" s="30">
        <v>0.25</v>
      </c>
      <c r="D1800" s="28">
        <f>YEAR(TableauFlitrage[[#This Row],[Date_d_adjudication]])</f>
        <v>2023</v>
      </c>
      <c r="E1800" s="28">
        <f t="shared" si="30"/>
        <v>10</v>
      </c>
      <c r="F1800" s="15">
        <v>45230</v>
      </c>
      <c r="G1800" s="28">
        <v>98.374257999999998</v>
      </c>
      <c r="H1800" s="15">
        <v>45323</v>
      </c>
      <c r="I1800">
        <v>108.05329999999999</v>
      </c>
      <c r="J1800">
        <v>15000</v>
      </c>
      <c r="K1800" s="28">
        <v>6.5377999999999998</v>
      </c>
    </row>
    <row r="1801" spans="1:12" x14ac:dyDescent="0.2">
      <c r="A1801" s="28" t="s">
        <v>8</v>
      </c>
      <c r="B1801" s="2" t="s">
        <v>29</v>
      </c>
      <c r="C1801" s="30">
        <v>0.5</v>
      </c>
      <c r="D1801" s="28">
        <f>YEAR(TableauFlitrage[[#This Row],[Date_d_adjudication]])</f>
        <v>2023</v>
      </c>
      <c r="E1801" s="28">
        <f t="shared" si="30"/>
        <v>10</v>
      </c>
      <c r="F1801" s="15">
        <v>45230</v>
      </c>
      <c r="G1801" s="28">
        <v>96.630949000000001</v>
      </c>
      <c r="H1801" s="15">
        <v>45414</v>
      </c>
      <c r="I1801">
        <v>60.65</v>
      </c>
      <c r="J1801">
        <v>10000</v>
      </c>
      <c r="K1801" s="28">
        <v>6.8963999999999999</v>
      </c>
    </row>
    <row r="1802" spans="1:12" x14ac:dyDescent="0.2">
      <c r="A1802" s="28" t="s">
        <v>8</v>
      </c>
      <c r="B1802" t="s">
        <v>30</v>
      </c>
      <c r="C1802" s="30" t="s">
        <v>54</v>
      </c>
      <c r="D1802" s="28">
        <f>YEAR(TableauFlitrage[[#This Row],[Date_d_adjudication]])</f>
        <v>2023</v>
      </c>
      <c r="E1802" s="28">
        <f t="shared" si="30"/>
        <v>10</v>
      </c>
      <c r="F1802" s="15">
        <v>45230</v>
      </c>
      <c r="G1802" s="28">
        <v>91.121799999999993</v>
      </c>
      <c r="H1802" s="15">
        <v>46321</v>
      </c>
      <c r="I1802">
        <v>27.949300000000001</v>
      </c>
      <c r="J1802">
        <v>15000</v>
      </c>
      <c r="K1802" s="28">
        <v>5.9</v>
      </c>
      <c r="L1802">
        <v>9.36</v>
      </c>
    </row>
    <row r="1803" spans="1:12" x14ac:dyDescent="0.2">
      <c r="A1803" s="28" t="s">
        <v>8</v>
      </c>
      <c r="B1803" t="s">
        <v>30</v>
      </c>
      <c r="C1803" s="30" t="s">
        <v>53</v>
      </c>
      <c r="D1803" s="28">
        <f>YEAR(TableauFlitrage[[#This Row],[Date_d_adjudication]])</f>
        <v>2023</v>
      </c>
      <c r="E1803" s="28">
        <f t="shared" si="30"/>
        <v>10</v>
      </c>
      <c r="F1803" s="15">
        <v>45230</v>
      </c>
      <c r="G1803" s="28">
        <v>91.1036</v>
      </c>
      <c r="H1803" s="15">
        <v>45963</v>
      </c>
      <c r="I1803">
        <v>113.64</v>
      </c>
      <c r="J1803">
        <v>25000</v>
      </c>
      <c r="K1803" s="28">
        <v>5.6</v>
      </c>
      <c r="L1803">
        <v>10.66</v>
      </c>
    </row>
    <row r="1804" spans="1:12" x14ac:dyDescent="0.2">
      <c r="A1804" s="28" t="s">
        <v>9</v>
      </c>
      <c r="B1804" s="2" t="s">
        <v>29</v>
      </c>
      <c r="C1804" s="30">
        <v>1</v>
      </c>
      <c r="D1804" s="28">
        <f>YEAR(TableauFlitrage[[#This Row],[Date_d_adjudication]])</f>
        <v>2023</v>
      </c>
      <c r="E1804" s="28">
        <f t="shared" si="30"/>
        <v>11</v>
      </c>
      <c r="F1804" s="15">
        <v>45231</v>
      </c>
      <c r="G1804" s="28">
        <v>93.438957000000002</v>
      </c>
      <c r="H1804" s="15">
        <v>45597</v>
      </c>
      <c r="I1804">
        <v>153.0933</v>
      </c>
      <c r="J1804">
        <v>7500</v>
      </c>
      <c r="K1804" s="28">
        <v>6.9446000000000003</v>
      </c>
    </row>
    <row r="1805" spans="1:12" x14ac:dyDescent="0.2">
      <c r="A1805" s="28" t="s">
        <v>11</v>
      </c>
      <c r="B1805" t="s">
        <v>30</v>
      </c>
      <c r="C1805" s="30" t="s">
        <v>54</v>
      </c>
      <c r="D1805" s="28">
        <f>YEAR(TableauFlitrage[[#This Row],[Date_d_adjudication]])</f>
        <v>2023</v>
      </c>
      <c r="E1805" s="28">
        <f t="shared" si="30"/>
        <v>11</v>
      </c>
      <c r="F1805" s="15">
        <v>45231</v>
      </c>
      <c r="G1805" s="28">
        <v>90.414699999999996</v>
      </c>
      <c r="H1805" s="15">
        <v>46329</v>
      </c>
      <c r="I1805">
        <v>43.6783</v>
      </c>
      <c r="J1805">
        <v>15000</v>
      </c>
      <c r="K1805" s="28">
        <v>6.5</v>
      </c>
      <c r="L1805">
        <v>10.3</v>
      </c>
    </row>
    <row r="1806" spans="1:12" x14ac:dyDescent="0.2">
      <c r="A1806" s="28" t="s">
        <v>8</v>
      </c>
      <c r="B1806" s="2" t="s">
        <v>29</v>
      </c>
      <c r="C1806" s="30">
        <v>0.5</v>
      </c>
      <c r="D1806" s="28">
        <f>YEAR(TableauFlitrage[[#This Row],[Date_d_adjudication]])</f>
        <v>2023</v>
      </c>
      <c r="E1806" s="28">
        <f t="shared" si="30"/>
        <v>11</v>
      </c>
      <c r="F1806" s="15">
        <v>45237</v>
      </c>
      <c r="G1806" s="28">
        <v>96.665786999999995</v>
      </c>
      <c r="H1806" s="15">
        <v>45421</v>
      </c>
      <c r="I1806">
        <v>107.75830000000001</v>
      </c>
      <c r="J1806">
        <v>12000</v>
      </c>
      <c r="K1806" s="28">
        <v>6.8226000000000004</v>
      </c>
    </row>
    <row r="1807" spans="1:12" x14ac:dyDescent="0.2">
      <c r="A1807" s="28" t="s">
        <v>8</v>
      </c>
      <c r="B1807" s="2" t="s">
        <v>29</v>
      </c>
      <c r="C1807" s="30">
        <v>1</v>
      </c>
      <c r="D1807" s="28">
        <f>YEAR(TableauFlitrage[[#This Row],[Date_d_adjudication]])</f>
        <v>2023</v>
      </c>
      <c r="E1807" s="28">
        <f t="shared" si="30"/>
        <v>11</v>
      </c>
      <c r="F1807" s="15">
        <v>45237</v>
      </c>
      <c r="G1807" s="28">
        <v>93.062805999999995</v>
      </c>
      <c r="H1807" s="15">
        <v>45603</v>
      </c>
      <c r="I1807">
        <v>140.24289999999999</v>
      </c>
      <c r="J1807">
        <v>7000</v>
      </c>
      <c r="K1807" s="28">
        <v>7.3723999999999998</v>
      </c>
    </row>
    <row r="1808" spans="1:12" x14ac:dyDescent="0.2">
      <c r="A1808" s="28" t="s">
        <v>10</v>
      </c>
      <c r="B1808" s="2" t="s">
        <v>29</v>
      </c>
      <c r="C1808" s="30">
        <v>1</v>
      </c>
      <c r="D1808" s="28">
        <f>YEAR(TableauFlitrage[[#This Row],[Date_d_adjudication]])</f>
        <v>2023</v>
      </c>
      <c r="E1808" s="28">
        <f t="shared" si="30"/>
        <v>11</v>
      </c>
      <c r="F1808" s="15">
        <v>45237</v>
      </c>
      <c r="G1808" s="28">
        <v>93.577759</v>
      </c>
      <c r="H1808" s="15">
        <v>45603</v>
      </c>
      <c r="I1808">
        <v>200</v>
      </c>
      <c r="J1808">
        <v>15000</v>
      </c>
      <c r="K1808" s="28">
        <v>6.7876000000000003</v>
      </c>
    </row>
    <row r="1809" spans="1:12" x14ac:dyDescent="0.2">
      <c r="A1809" s="28" t="s">
        <v>9</v>
      </c>
      <c r="B1809" s="2" t="s">
        <v>29</v>
      </c>
      <c r="C1809" s="30">
        <v>0.5</v>
      </c>
      <c r="D1809" s="28">
        <f>YEAR(TableauFlitrage[[#This Row],[Date_d_adjudication]])</f>
        <v>2023</v>
      </c>
      <c r="E1809" s="28">
        <f t="shared" si="30"/>
        <v>11</v>
      </c>
      <c r="F1809" s="15">
        <v>45238</v>
      </c>
      <c r="G1809" s="28">
        <v>96.781419999999997</v>
      </c>
      <c r="H1809" s="15">
        <v>45422</v>
      </c>
      <c r="I1809">
        <v>158.6105</v>
      </c>
      <c r="J1809">
        <v>9500</v>
      </c>
      <c r="K1809" s="28">
        <v>6.5781000000000001</v>
      </c>
    </row>
    <row r="1810" spans="1:12" x14ac:dyDescent="0.2">
      <c r="A1810" s="28" t="s">
        <v>11</v>
      </c>
      <c r="B1810" s="2" t="s">
        <v>29</v>
      </c>
      <c r="C1810" s="30">
        <v>0.5</v>
      </c>
      <c r="D1810" s="28">
        <f>YEAR(TableauFlitrage[[#This Row],[Date_d_adjudication]])</f>
        <v>2023</v>
      </c>
      <c r="E1810" s="28">
        <f t="shared" si="30"/>
        <v>11</v>
      </c>
      <c r="F1810" s="15">
        <v>45238</v>
      </c>
      <c r="G1810" s="28">
        <v>96.587500000000006</v>
      </c>
      <c r="H1810" s="15">
        <v>45422</v>
      </c>
      <c r="I1810">
        <v>56.666699999999999</v>
      </c>
      <c r="J1810">
        <v>15000</v>
      </c>
      <c r="K1810" s="28">
        <v>6.9885000000000002</v>
      </c>
    </row>
    <row r="1811" spans="1:12" x14ac:dyDescent="0.2">
      <c r="A1811" s="28" t="s">
        <v>8</v>
      </c>
      <c r="B1811" t="s">
        <v>30</v>
      </c>
      <c r="C1811" s="30" t="s">
        <v>53</v>
      </c>
      <c r="D1811" s="28">
        <f>YEAR(TableauFlitrage[[#This Row],[Date_d_adjudication]])</f>
        <v>2023</v>
      </c>
      <c r="E1811" s="28">
        <f t="shared" si="30"/>
        <v>11</v>
      </c>
      <c r="F1811" s="15">
        <v>45238</v>
      </c>
      <c r="G1811" s="28">
        <v>91.1571</v>
      </c>
      <c r="H1811" s="15">
        <v>45963</v>
      </c>
      <c r="I1811">
        <v>48.4</v>
      </c>
      <c r="J1811">
        <v>5000</v>
      </c>
      <c r="K1811" s="28">
        <v>5.6</v>
      </c>
      <c r="L1811">
        <v>10.62</v>
      </c>
    </row>
    <row r="1812" spans="1:12" x14ac:dyDescent="0.2">
      <c r="A1812" s="28" t="s">
        <v>9</v>
      </c>
      <c r="B1812" t="s">
        <v>30</v>
      </c>
      <c r="C1812" s="30" t="s">
        <v>56</v>
      </c>
      <c r="D1812" s="28">
        <f>YEAR(TableauFlitrage[[#This Row],[Date_d_adjudication]])</f>
        <v>2023</v>
      </c>
      <c r="E1812" s="28">
        <f t="shared" si="30"/>
        <v>11</v>
      </c>
      <c r="F1812" s="15">
        <v>45238</v>
      </c>
      <c r="G1812" s="28">
        <v>95.096999999999994</v>
      </c>
      <c r="H1812" s="15">
        <v>46407</v>
      </c>
      <c r="I1812">
        <v>114.4669</v>
      </c>
      <c r="J1812">
        <v>8000</v>
      </c>
      <c r="K1812" s="28">
        <v>5.75</v>
      </c>
      <c r="L1812">
        <v>7.61</v>
      </c>
    </row>
    <row r="1813" spans="1:12" x14ac:dyDescent="0.2">
      <c r="A1813" s="28" t="s">
        <v>9</v>
      </c>
      <c r="B1813" t="s">
        <v>30</v>
      </c>
      <c r="C1813" s="30" t="s">
        <v>56</v>
      </c>
      <c r="D1813" s="28">
        <f>YEAR(TableauFlitrage[[#This Row],[Date_d_adjudication]])</f>
        <v>2023</v>
      </c>
      <c r="E1813" s="28">
        <f t="shared" si="30"/>
        <v>11</v>
      </c>
      <c r="F1813" s="15">
        <v>45238</v>
      </c>
      <c r="G1813" s="28">
        <v>95.6173</v>
      </c>
      <c r="H1813" s="15">
        <v>46365</v>
      </c>
      <c r="I1813">
        <v>106.83329999999999</v>
      </c>
      <c r="J1813">
        <v>15000</v>
      </c>
      <c r="K1813" s="28">
        <v>5.75</v>
      </c>
      <c r="L1813">
        <v>7.41</v>
      </c>
    </row>
    <row r="1814" spans="1:12" x14ac:dyDescent="0.2">
      <c r="A1814" s="28" t="s">
        <v>11</v>
      </c>
      <c r="B1814" t="s">
        <v>30</v>
      </c>
      <c r="C1814" s="30" t="s">
        <v>54</v>
      </c>
      <c r="D1814" s="28">
        <f>YEAR(TableauFlitrage[[#This Row],[Date_d_adjudication]])</f>
        <v>2023</v>
      </c>
      <c r="E1814" s="28">
        <f t="shared" si="30"/>
        <v>11</v>
      </c>
      <c r="F1814" s="15">
        <v>45238</v>
      </c>
      <c r="G1814" s="28">
        <v>90.073599999999999</v>
      </c>
      <c r="H1814" s="15">
        <v>46336</v>
      </c>
      <c r="I1814">
        <v>46.774999999999999</v>
      </c>
      <c r="J1814">
        <v>15000</v>
      </c>
      <c r="K1814" s="28">
        <v>6.5</v>
      </c>
      <c r="L1814">
        <v>10.44</v>
      </c>
    </row>
    <row r="1815" spans="1:12" x14ac:dyDescent="0.2">
      <c r="A1815" s="28" t="s">
        <v>8</v>
      </c>
      <c r="B1815" s="2" t="s">
        <v>29</v>
      </c>
      <c r="C1815" s="30">
        <v>0.25</v>
      </c>
      <c r="D1815" s="28">
        <f>YEAR(TableauFlitrage[[#This Row],[Date_d_adjudication]])</f>
        <v>2023</v>
      </c>
      <c r="E1815" s="28">
        <f t="shared" si="30"/>
        <v>11</v>
      </c>
      <c r="F1815" s="15">
        <v>45244</v>
      </c>
      <c r="G1815" s="28">
        <v>98.383574999999993</v>
      </c>
      <c r="H1815" s="15">
        <v>45337</v>
      </c>
      <c r="I1815">
        <v>108.07</v>
      </c>
      <c r="J1815">
        <v>10000</v>
      </c>
      <c r="K1815" s="28">
        <v>6.4996999999999998</v>
      </c>
    </row>
    <row r="1816" spans="1:12" x14ac:dyDescent="0.2">
      <c r="A1816" s="28" t="s">
        <v>9</v>
      </c>
      <c r="B1816" s="2" t="s">
        <v>29</v>
      </c>
      <c r="C1816" s="30">
        <v>0.25</v>
      </c>
      <c r="D1816" s="28">
        <f>YEAR(TableauFlitrage[[#This Row],[Date_d_adjudication]])</f>
        <v>2023</v>
      </c>
      <c r="E1816" s="28">
        <f t="shared" si="30"/>
        <v>11</v>
      </c>
      <c r="F1816" s="15">
        <v>45245</v>
      </c>
      <c r="G1816" s="28">
        <v>98.489053999999996</v>
      </c>
      <c r="H1816" s="15">
        <v>45338</v>
      </c>
      <c r="I1816">
        <v>115.0421</v>
      </c>
      <c r="J1816">
        <v>9500</v>
      </c>
      <c r="K1816" s="28">
        <v>6.0690999999999997</v>
      </c>
    </row>
    <row r="1817" spans="1:12" x14ac:dyDescent="0.2">
      <c r="A1817" s="28" t="s">
        <v>11</v>
      </c>
      <c r="B1817" t="s">
        <v>30</v>
      </c>
      <c r="C1817" s="30" t="s">
        <v>54</v>
      </c>
      <c r="D1817" s="28">
        <f>YEAR(TableauFlitrage[[#This Row],[Date_d_adjudication]])</f>
        <v>2023</v>
      </c>
      <c r="E1817" s="28">
        <f t="shared" si="30"/>
        <v>11</v>
      </c>
      <c r="F1817" s="15">
        <v>45245</v>
      </c>
      <c r="G1817" s="28">
        <v>90.018799999999999</v>
      </c>
      <c r="H1817" s="15">
        <v>46343</v>
      </c>
      <c r="I1817">
        <v>102.4423</v>
      </c>
      <c r="J1817">
        <v>20000</v>
      </c>
      <c r="K1817" s="28">
        <v>6.5</v>
      </c>
      <c r="L1817">
        <v>10.46</v>
      </c>
    </row>
    <row r="1818" spans="1:12" x14ac:dyDescent="0.2">
      <c r="A1818" s="28" t="s">
        <v>7</v>
      </c>
      <c r="B1818" s="2" t="s">
        <v>29</v>
      </c>
      <c r="C1818" s="30">
        <v>0.5</v>
      </c>
      <c r="D1818" s="28">
        <f>YEAR(TableauFlitrage[[#This Row],[Date_d_adjudication]])</f>
        <v>2023</v>
      </c>
      <c r="E1818" s="28">
        <f t="shared" si="30"/>
        <v>11</v>
      </c>
      <c r="F1818" s="15">
        <v>45250</v>
      </c>
      <c r="G1818" s="28">
        <v>97.030872000000002</v>
      </c>
      <c r="H1818" s="15">
        <v>45434</v>
      </c>
      <c r="I1818">
        <v>106</v>
      </c>
      <c r="J1818">
        <v>50000</v>
      </c>
      <c r="K1818" s="28">
        <v>6.0526999999999997</v>
      </c>
    </row>
    <row r="1819" spans="1:12" x14ac:dyDescent="0.2">
      <c r="A1819" s="28" t="s">
        <v>8</v>
      </c>
      <c r="B1819" s="2" t="s">
        <v>29</v>
      </c>
      <c r="C1819" s="30">
        <v>0.25</v>
      </c>
      <c r="D1819" s="28">
        <f>YEAR(TableauFlitrage[[#This Row],[Date_d_adjudication]])</f>
        <v>2023</v>
      </c>
      <c r="E1819" s="28">
        <f t="shared" si="30"/>
        <v>11</v>
      </c>
      <c r="F1819" s="15">
        <v>45251</v>
      </c>
      <c r="G1819" s="28">
        <v>98.441235000000006</v>
      </c>
      <c r="H1819" s="15">
        <v>45344</v>
      </c>
      <c r="I1819">
        <v>155.22499999999999</v>
      </c>
      <c r="J1819">
        <v>12000</v>
      </c>
      <c r="K1819" s="28">
        <v>6.2641999999999998</v>
      </c>
    </row>
    <row r="1820" spans="1:12" x14ac:dyDescent="0.2">
      <c r="A1820" s="28" t="s">
        <v>8</v>
      </c>
      <c r="B1820" s="2" t="s">
        <v>29</v>
      </c>
      <c r="C1820" s="30">
        <v>0.5</v>
      </c>
      <c r="D1820" s="28">
        <f>YEAR(TableauFlitrage[[#This Row],[Date_d_adjudication]])</f>
        <v>2023</v>
      </c>
      <c r="E1820" s="28">
        <f t="shared" si="30"/>
        <v>11</v>
      </c>
      <c r="F1820" s="15">
        <v>45251</v>
      </c>
      <c r="G1820" s="28">
        <v>96.956265999999999</v>
      </c>
      <c r="H1820" s="15">
        <v>45435</v>
      </c>
      <c r="I1820">
        <v>18.884599999999999</v>
      </c>
      <c r="J1820">
        <v>13000</v>
      </c>
      <c r="K1820" s="28">
        <v>6.2096</v>
      </c>
    </row>
    <row r="1821" spans="1:12" x14ac:dyDescent="0.2">
      <c r="A1821" s="28" t="s">
        <v>8</v>
      </c>
      <c r="B1821" s="2" t="s">
        <v>29</v>
      </c>
      <c r="C1821" s="30">
        <v>1</v>
      </c>
      <c r="D1821" s="28">
        <f>YEAR(TableauFlitrage[[#This Row],[Date_d_adjudication]])</f>
        <v>2023</v>
      </c>
      <c r="E1821" s="28">
        <f t="shared" si="30"/>
        <v>11</v>
      </c>
      <c r="F1821" s="15">
        <v>45251</v>
      </c>
      <c r="G1821" s="28">
        <v>93.003868999999995</v>
      </c>
      <c r="H1821" s="15">
        <v>45617</v>
      </c>
      <c r="I1821">
        <v>113.83329999999999</v>
      </c>
      <c r="J1821">
        <v>12000</v>
      </c>
      <c r="K1821" s="28">
        <v>7.4397000000000002</v>
      </c>
    </row>
    <row r="1822" spans="1:12" x14ac:dyDescent="0.2">
      <c r="A1822" s="28" t="s">
        <v>9</v>
      </c>
      <c r="B1822" s="2" t="s">
        <v>29</v>
      </c>
      <c r="C1822" s="30">
        <v>0.5</v>
      </c>
      <c r="D1822" s="28">
        <f>YEAR(TableauFlitrage[[#This Row],[Date_d_adjudication]])</f>
        <v>2023</v>
      </c>
      <c r="E1822" s="28">
        <f t="shared" si="30"/>
        <v>11</v>
      </c>
      <c r="F1822" s="15">
        <v>45252</v>
      </c>
      <c r="G1822" s="28">
        <v>96.749724999999998</v>
      </c>
      <c r="H1822" s="15">
        <v>45436</v>
      </c>
      <c r="I1822">
        <v>156.2842</v>
      </c>
      <c r="J1822">
        <v>9500</v>
      </c>
      <c r="K1822" s="28">
        <v>6.6451000000000002</v>
      </c>
    </row>
    <row r="1823" spans="1:12" x14ac:dyDescent="0.2">
      <c r="A1823" s="28" t="s">
        <v>11</v>
      </c>
      <c r="B1823" s="2" t="s">
        <v>29</v>
      </c>
      <c r="C1823" s="30">
        <v>0.5</v>
      </c>
      <c r="D1823" s="28">
        <f>YEAR(TableauFlitrage[[#This Row],[Date_d_adjudication]])</f>
        <v>2023</v>
      </c>
      <c r="E1823" s="28">
        <f t="shared" si="30"/>
        <v>11</v>
      </c>
      <c r="F1823" s="15">
        <v>45252</v>
      </c>
      <c r="G1823" s="28">
        <v>96.713888999999995</v>
      </c>
      <c r="H1823" s="15">
        <v>45436</v>
      </c>
      <c r="I1823">
        <v>100.1</v>
      </c>
      <c r="J1823">
        <v>10000</v>
      </c>
      <c r="K1823" s="28">
        <v>6.7209000000000003</v>
      </c>
    </row>
    <row r="1824" spans="1:12" x14ac:dyDescent="0.2">
      <c r="A1824" s="28" t="s">
        <v>11</v>
      </c>
      <c r="B1824" t="s">
        <v>30</v>
      </c>
      <c r="C1824" s="30" t="s">
        <v>53</v>
      </c>
      <c r="D1824" s="28">
        <f>YEAR(TableauFlitrage[[#This Row],[Date_d_adjudication]])</f>
        <v>2023</v>
      </c>
      <c r="E1824" s="28">
        <f t="shared" ref="E1824:E1877" si="31">MONTH(F1824)</f>
        <v>11</v>
      </c>
      <c r="F1824" s="15">
        <v>45252</v>
      </c>
      <c r="G1824" s="28">
        <v>91.885599999999997</v>
      </c>
      <c r="H1824" s="15">
        <v>45985</v>
      </c>
      <c r="I1824">
        <v>58.4604</v>
      </c>
      <c r="J1824">
        <v>30000</v>
      </c>
      <c r="K1824" s="28">
        <v>6</v>
      </c>
      <c r="L1824">
        <v>10.61</v>
      </c>
    </row>
    <row r="1825" spans="1:12" x14ac:dyDescent="0.2">
      <c r="A1825" s="28" t="s">
        <v>7</v>
      </c>
      <c r="B1825" s="2" t="s">
        <v>29</v>
      </c>
      <c r="C1825" s="30">
        <v>0.5</v>
      </c>
      <c r="D1825" s="28">
        <f>YEAR(TableauFlitrage[[#This Row],[Date_d_adjudication]])</f>
        <v>2023</v>
      </c>
      <c r="E1825" s="28">
        <f t="shared" si="31"/>
        <v>11</v>
      </c>
      <c r="F1825" s="15">
        <v>45257</v>
      </c>
      <c r="G1825" s="28">
        <v>97.096666999999997</v>
      </c>
      <c r="H1825" s="15">
        <v>45441</v>
      </c>
      <c r="I1825">
        <v>35.1</v>
      </c>
      <c r="J1825">
        <v>10000</v>
      </c>
      <c r="K1825" s="28">
        <v>5.9146000000000001</v>
      </c>
    </row>
    <row r="1826" spans="1:12" x14ac:dyDescent="0.2">
      <c r="A1826" s="28" t="s">
        <v>14</v>
      </c>
      <c r="B1826" t="s">
        <v>30</v>
      </c>
      <c r="C1826" s="30" t="s">
        <v>54</v>
      </c>
      <c r="D1826" s="28">
        <f>YEAR(TableauFlitrage[[#This Row],[Date_d_adjudication]])</f>
        <v>2023</v>
      </c>
      <c r="E1826" s="28">
        <f t="shared" si="31"/>
        <v>11</v>
      </c>
      <c r="F1826" s="15">
        <v>45257</v>
      </c>
      <c r="G1826" s="28">
        <v>91.646699999999996</v>
      </c>
      <c r="H1826" s="15">
        <v>46355</v>
      </c>
      <c r="I1826">
        <v>107.0367</v>
      </c>
      <c r="J1826">
        <v>15000</v>
      </c>
      <c r="K1826" s="28">
        <v>6.25</v>
      </c>
      <c r="L1826">
        <v>9.52</v>
      </c>
    </row>
    <row r="1827" spans="1:12" x14ac:dyDescent="0.2">
      <c r="A1827" s="28" t="s">
        <v>14</v>
      </c>
      <c r="B1827" t="s">
        <v>30</v>
      </c>
      <c r="C1827" s="30" t="s">
        <v>56</v>
      </c>
      <c r="D1827" s="28">
        <f>YEAR(TableauFlitrage[[#This Row],[Date_d_adjudication]])</f>
        <v>2023</v>
      </c>
      <c r="E1827" s="28">
        <f t="shared" si="31"/>
        <v>11</v>
      </c>
      <c r="F1827" s="15">
        <v>45257</v>
      </c>
      <c r="G1827" s="28">
        <v>90</v>
      </c>
      <c r="H1827" s="15">
        <v>46720</v>
      </c>
      <c r="I1827">
        <v>66.666700000000006</v>
      </c>
      <c r="J1827">
        <v>7500</v>
      </c>
      <c r="K1827" s="28">
        <v>6.5</v>
      </c>
      <c r="L1827">
        <v>9.57</v>
      </c>
    </row>
    <row r="1828" spans="1:12" x14ac:dyDescent="0.2">
      <c r="A1828" s="28" t="s">
        <v>8</v>
      </c>
      <c r="B1828" s="2" t="s">
        <v>29</v>
      </c>
      <c r="C1828" s="30">
        <v>0.25</v>
      </c>
      <c r="D1828" s="28">
        <f>YEAR(TableauFlitrage[[#This Row],[Date_d_adjudication]])</f>
        <v>2023</v>
      </c>
      <c r="E1828" s="28">
        <f t="shared" si="31"/>
        <v>11</v>
      </c>
      <c r="F1828" s="15">
        <v>45258</v>
      </c>
      <c r="G1828" s="28">
        <v>98.407499999999999</v>
      </c>
      <c r="H1828" s="15">
        <v>45351</v>
      </c>
      <c r="I1828">
        <v>17.513300000000001</v>
      </c>
      <c r="J1828">
        <v>15000</v>
      </c>
      <c r="K1828" s="28">
        <v>6.4020000000000001</v>
      </c>
    </row>
    <row r="1829" spans="1:12" x14ac:dyDescent="0.2">
      <c r="A1829" s="28" t="s">
        <v>10</v>
      </c>
      <c r="B1829" s="2" t="s">
        <v>29</v>
      </c>
      <c r="C1829" s="30">
        <v>1</v>
      </c>
      <c r="D1829" s="28">
        <f>YEAR(TableauFlitrage[[#This Row],[Date_d_adjudication]])</f>
        <v>2023</v>
      </c>
      <c r="E1829" s="28">
        <f t="shared" si="31"/>
        <v>11</v>
      </c>
      <c r="F1829" s="15">
        <v>45258</v>
      </c>
      <c r="G1829" s="28">
        <v>93.608503999999996</v>
      </c>
      <c r="H1829" s="15">
        <v>45624</v>
      </c>
      <c r="I1829">
        <v>18.399999999999999</v>
      </c>
      <c r="J1829">
        <v>10000</v>
      </c>
      <c r="K1829" s="28">
        <v>6.7529000000000003</v>
      </c>
    </row>
    <row r="1830" spans="1:12" x14ac:dyDescent="0.2">
      <c r="A1830" s="28" t="s">
        <v>8</v>
      </c>
      <c r="B1830" t="s">
        <v>30</v>
      </c>
      <c r="C1830" s="30" t="s">
        <v>55</v>
      </c>
      <c r="D1830" s="28">
        <f>YEAR(TableauFlitrage[[#This Row],[Date_d_adjudication]])</f>
        <v>2023</v>
      </c>
      <c r="E1830" s="28">
        <f t="shared" si="31"/>
        <v>11</v>
      </c>
      <c r="F1830" s="15">
        <v>45258</v>
      </c>
      <c r="G1830" s="28">
        <v>90.006699999999995</v>
      </c>
      <c r="H1830" s="15">
        <v>47087</v>
      </c>
      <c r="I1830">
        <v>100.387</v>
      </c>
      <c r="J1830">
        <v>10000</v>
      </c>
      <c r="K1830" s="28">
        <v>6.5</v>
      </c>
      <c r="L1830">
        <v>9.0299999999999994</v>
      </c>
    </row>
    <row r="1831" spans="1:12" x14ac:dyDescent="0.2">
      <c r="A1831" s="28" t="s">
        <v>8</v>
      </c>
      <c r="B1831" t="s">
        <v>30</v>
      </c>
      <c r="C1831" s="30" t="s">
        <v>54</v>
      </c>
      <c r="D1831" s="28">
        <f>YEAR(TableauFlitrage[[#This Row],[Date_d_adjudication]])</f>
        <v>2023</v>
      </c>
      <c r="E1831" s="28">
        <f t="shared" si="31"/>
        <v>11</v>
      </c>
      <c r="F1831" s="15">
        <v>45258</v>
      </c>
      <c r="G1831" s="28">
        <v>92</v>
      </c>
      <c r="H1831" s="15">
        <v>46356</v>
      </c>
      <c r="I1831">
        <v>102.065</v>
      </c>
      <c r="J1831">
        <v>10000</v>
      </c>
      <c r="K1831" s="28">
        <v>6</v>
      </c>
      <c r="L1831">
        <v>9.11</v>
      </c>
    </row>
    <row r="1832" spans="1:12" x14ac:dyDescent="0.2">
      <c r="A1832" s="28" t="s">
        <v>9</v>
      </c>
      <c r="B1832" s="2" t="s">
        <v>29</v>
      </c>
      <c r="C1832" s="30">
        <v>0.5</v>
      </c>
      <c r="D1832" s="28">
        <f>YEAR(TableauFlitrage[[#This Row],[Date_d_adjudication]])</f>
        <v>2023</v>
      </c>
      <c r="E1832" s="28">
        <f t="shared" si="31"/>
        <v>11</v>
      </c>
      <c r="F1832" s="15">
        <v>45259</v>
      </c>
      <c r="G1832" s="28">
        <v>96.748693000000003</v>
      </c>
      <c r="H1832" s="15">
        <v>45443</v>
      </c>
      <c r="I1832">
        <v>22.610499999999998</v>
      </c>
      <c r="J1832">
        <v>9500</v>
      </c>
      <c r="K1832" s="28">
        <v>6.6473000000000004</v>
      </c>
    </row>
    <row r="1833" spans="1:12" x14ac:dyDescent="0.2">
      <c r="A1833" s="28" t="s">
        <v>9</v>
      </c>
      <c r="B1833" s="2" t="s">
        <v>29</v>
      </c>
      <c r="C1833" s="30">
        <v>0.5</v>
      </c>
      <c r="D1833" s="28">
        <f>YEAR(TableauFlitrage[[#This Row],[Date_d_adjudication]])</f>
        <v>2023</v>
      </c>
      <c r="E1833" s="28">
        <f t="shared" si="31"/>
        <v>11</v>
      </c>
      <c r="F1833" s="15">
        <v>45259</v>
      </c>
      <c r="G1833" s="28">
        <v>96.840277999999998</v>
      </c>
      <c r="H1833" s="15">
        <v>45443</v>
      </c>
      <c r="I1833">
        <v>100</v>
      </c>
      <c r="J1833">
        <v>11000</v>
      </c>
      <c r="K1833" s="28">
        <v>6.4539</v>
      </c>
    </row>
    <row r="1834" spans="1:12" x14ac:dyDescent="0.2">
      <c r="A1834" s="28" t="s">
        <v>9</v>
      </c>
      <c r="B1834" s="2" t="s">
        <v>29</v>
      </c>
      <c r="C1834" s="30">
        <v>1</v>
      </c>
      <c r="D1834" s="28">
        <f>YEAR(TableauFlitrage[[#This Row],[Date_d_adjudication]])</f>
        <v>2023</v>
      </c>
      <c r="E1834" s="28">
        <f t="shared" si="31"/>
        <v>11</v>
      </c>
      <c r="F1834" s="15">
        <v>45259</v>
      </c>
      <c r="G1834" s="28">
        <v>93.326667</v>
      </c>
      <c r="H1834" s="15">
        <v>45625</v>
      </c>
      <c r="I1834">
        <v>88</v>
      </c>
      <c r="J1834">
        <v>25000</v>
      </c>
      <c r="K1834" s="28">
        <v>7.0719000000000003</v>
      </c>
    </row>
    <row r="1835" spans="1:12" x14ac:dyDescent="0.2">
      <c r="A1835" s="28" t="s">
        <v>11</v>
      </c>
      <c r="B1835" t="s">
        <v>30</v>
      </c>
      <c r="C1835" s="30" t="s">
        <v>54</v>
      </c>
      <c r="D1835" s="28">
        <f>YEAR(TableauFlitrage[[#This Row],[Date_d_adjudication]])</f>
        <v>2023</v>
      </c>
      <c r="E1835" s="28">
        <f t="shared" si="31"/>
        <v>11</v>
      </c>
      <c r="F1835" s="15">
        <v>45259</v>
      </c>
      <c r="G1835" s="28">
        <v>90.026200000000003</v>
      </c>
      <c r="H1835" s="15">
        <v>46357</v>
      </c>
      <c r="I1835">
        <v>30.358899999999998</v>
      </c>
      <c r="J1835">
        <v>20000</v>
      </c>
      <c r="K1835" s="28">
        <v>6.5</v>
      </c>
      <c r="L1835">
        <v>10.46</v>
      </c>
    </row>
    <row r="1836" spans="1:12" x14ac:dyDescent="0.2">
      <c r="A1836" s="28" t="s">
        <v>9</v>
      </c>
      <c r="B1836" t="s">
        <v>30</v>
      </c>
      <c r="C1836" s="30" t="s">
        <v>53</v>
      </c>
      <c r="D1836" s="28">
        <f>YEAR(TableauFlitrage[[#This Row],[Date_d_adjudication]])</f>
        <v>2023</v>
      </c>
      <c r="E1836" s="28">
        <f t="shared" si="31"/>
        <v>11</v>
      </c>
      <c r="F1836" s="15">
        <v>45259</v>
      </c>
      <c r="G1836" s="28">
        <v>91.5</v>
      </c>
      <c r="H1836" s="15">
        <v>45992</v>
      </c>
      <c r="I1836">
        <v>85.014300000000006</v>
      </c>
      <c r="J1836">
        <v>70000</v>
      </c>
      <c r="K1836" s="28">
        <v>5</v>
      </c>
      <c r="L1836">
        <v>9.7799999999999994</v>
      </c>
    </row>
    <row r="1837" spans="1:12" x14ac:dyDescent="0.2">
      <c r="A1837" s="28" t="s">
        <v>9</v>
      </c>
      <c r="B1837" t="s">
        <v>30</v>
      </c>
      <c r="C1837" s="30" t="s">
        <v>54</v>
      </c>
      <c r="D1837" s="28">
        <f>YEAR(TableauFlitrage[[#This Row],[Date_d_adjudication]])</f>
        <v>2023</v>
      </c>
      <c r="E1837" s="28">
        <f t="shared" si="31"/>
        <v>11</v>
      </c>
      <c r="F1837" s="15">
        <v>45259</v>
      </c>
      <c r="G1837" s="28">
        <v>90.5</v>
      </c>
      <c r="H1837" s="15">
        <v>46357</v>
      </c>
      <c r="I1837">
        <v>70.078599999999994</v>
      </c>
      <c r="J1837">
        <v>70000</v>
      </c>
      <c r="K1837" s="28">
        <v>5.5</v>
      </c>
      <c r="L1837">
        <v>9.1999999999999993</v>
      </c>
    </row>
    <row r="1838" spans="1:12" x14ac:dyDescent="0.2">
      <c r="A1838" s="28" t="s">
        <v>9</v>
      </c>
      <c r="B1838" t="s">
        <v>30</v>
      </c>
      <c r="C1838" s="30" t="s">
        <v>56</v>
      </c>
      <c r="D1838" s="28">
        <f>YEAR(TableauFlitrage[[#This Row],[Date_d_adjudication]])</f>
        <v>2023</v>
      </c>
      <c r="E1838" s="28">
        <f t="shared" si="31"/>
        <v>11</v>
      </c>
      <c r="F1838" s="15">
        <v>45259</v>
      </c>
      <c r="G1838" s="28">
        <v>90</v>
      </c>
      <c r="H1838" s="15">
        <v>46722</v>
      </c>
      <c r="I1838">
        <v>48.894599999999997</v>
      </c>
      <c r="J1838">
        <v>14000</v>
      </c>
      <c r="K1838" s="28">
        <v>6.25</v>
      </c>
      <c r="L1838">
        <v>9.3000000000000007</v>
      </c>
    </row>
    <row r="1839" spans="1:12" x14ac:dyDescent="0.2">
      <c r="A1839" s="28" t="s">
        <v>9</v>
      </c>
      <c r="B1839" t="s">
        <v>30</v>
      </c>
      <c r="C1839" s="30" t="s">
        <v>55</v>
      </c>
      <c r="D1839" s="28">
        <f>YEAR(TableauFlitrage[[#This Row],[Date_d_adjudication]])</f>
        <v>2023</v>
      </c>
      <c r="E1839" s="28">
        <f t="shared" si="31"/>
        <v>11</v>
      </c>
      <c r="F1839" s="15">
        <v>45259</v>
      </c>
      <c r="G1839" s="28">
        <v>90</v>
      </c>
      <c r="H1839" s="15">
        <v>46753</v>
      </c>
      <c r="I1839">
        <v>78.417400000000001</v>
      </c>
      <c r="J1839">
        <v>5000</v>
      </c>
      <c r="K1839" s="28">
        <v>6.75</v>
      </c>
      <c r="L1839">
        <v>9.3000000000000007</v>
      </c>
    </row>
    <row r="1840" spans="1:12" x14ac:dyDescent="0.2">
      <c r="A1840" s="28" t="s">
        <v>9</v>
      </c>
      <c r="B1840" t="s">
        <v>30</v>
      </c>
      <c r="C1840" s="30" t="s">
        <v>58</v>
      </c>
      <c r="D1840" s="28">
        <f>YEAR(TableauFlitrage[[#This Row],[Date_d_adjudication]])</f>
        <v>2023</v>
      </c>
      <c r="E1840" s="28">
        <f t="shared" si="31"/>
        <v>11</v>
      </c>
      <c r="F1840" s="15">
        <v>45259</v>
      </c>
      <c r="G1840" s="28">
        <v>90</v>
      </c>
      <c r="H1840" s="15">
        <v>47818</v>
      </c>
      <c r="I1840">
        <v>16</v>
      </c>
      <c r="J1840">
        <v>5000</v>
      </c>
      <c r="K1840" s="28">
        <v>7.5</v>
      </c>
      <c r="L1840">
        <v>9.49</v>
      </c>
    </row>
    <row r="1841" spans="1:12" x14ac:dyDescent="0.2">
      <c r="A1841" s="28" t="s">
        <v>7</v>
      </c>
      <c r="B1841" s="2" t="s">
        <v>29</v>
      </c>
      <c r="C1841" s="30">
        <v>0.5</v>
      </c>
      <c r="D1841" s="28">
        <f>YEAR(TableauFlitrage[[#This Row],[Date_d_adjudication]])</f>
        <v>2023</v>
      </c>
      <c r="E1841" s="28">
        <f t="shared" si="31"/>
        <v>12</v>
      </c>
      <c r="F1841" s="15">
        <v>45264</v>
      </c>
      <c r="G1841" s="28">
        <v>97.015083000000004</v>
      </c>
      <c r="H1841" s="15">
        <v>45448</v>
      </c>
      <c r="I1841">
        <v>69.773300000000006</v>
      </c>
      <c r="J1841">
        <v>45000</v>
      </c>
      <c r="K1841" s="28">
        <v>6.0858999999999996</v>
      </c>
    </row>
    <row r="1842" spans="1:12" x14ac:dyDescent="0.2">
      <c r="A1842" s="28" t="s">
        <v>7</v>
      </c>
      <c r="B1842" s="2" t="s">
        <v>29</v>
      </c>
      <c r="C1842" s="30">
        <v>1</v>
      </c>
      <c r="D1842" s="28">
        <f>YEAR(TableauFlitrage[[#This Row],[Date_d_adjudication]])</f>
        <v>2023</v>
      </c>
      <c r="E1842" s="28">
        <f t="shared" si="31"/>
        <v>12</v>
      </c>
      <c r="F1842" s="15">
        <v>45264</v>
      </c>
      <c r="G1842" s="28">
        <v>93.765386000000007</v>
      </c>
      <c r="H1842" s="15">
        <v>45630</v>
      </c>
      <c r="I1842">
        <v>98.4</v>
      </c>
      <c r="J1842">
        <v>15000</v>
      </c>
      <c r="K1842" s="28">
        <v>6.5761000000000003</v>
      </c>
    </row>
    <row r="1843" spans="1:12" x14ac:dyDescent="0.2">
      <c r="A1843" s="28" t="s">
        <v>8</v>
      </c>
      <c r="B1843" s="2" t="s">
        <v>29</v>
      </c>
      <c r="C1843" s="30">
        <v>0.25</v>
      </c>
      <c r="D1843" s="28">
        <f>YEAR(TableauFlitrage[[#This Row],[Date_d_adjudication]])</f>
        <v>2023</v>
      </c>
      <c r="E1843" s="28">
        <f t="shared" si="31"/>
        <v>12</v>
      </c>
      <c r="F1843" s="15">
        <v>45265</v>
      </c>
      <c r="G1843" s="28">
        <v>98.427319999999995</v>
      </c>
      <c r="H1843" s="15">
        <v>45358</v>
      </c>
      <c r="I1843">
        <v>80.78</v>
      </c>
      <c r="J1843">
        <v>15000</v>
      </c>
      <c r="K1843" s="28">
        <v>6.3209999999999997</v>
      </c>
    </row>
    <row r="1844" spans="1:12" x14ac:dyDescent="0.2">
      <c r="A1844" s="28" t="s">
        <v>8</v>
      </c>
      <c r="B1844" t="s">
        <v>30</v>
      </c>
      <c r="C1844" s="30" t="s">
        <v>54</v>
      </c>
      <c r="D1844" s="28">
        <f>YEAR(TableauFlitrage[[#This Row],[Date_d_adjudication]])</f>
        <v>2023</v>
      </c>
      <c r="E1844" s="28">
        <f t="shared" si="31"/>
        <v>12</v>
      </c>
      <c r="F1844" s="15">
        <v>45265</v>
      </c>
      <c r="G1844" s="28">
        <v>90</v>
      </c>
      <c r="H1844" s="15">
        <v>46356</v>
      </c>
      <c r="I1844">
        <v>25.498000000000001</v>
      </c>
      <c r="J1844">
        <v>10000</v>
      </c>
      <c r="K1844" s="28">
        <v>6</v>
      </c>
      <c r="L1844">
        <v>9.3800000000000008</v>
      </c>
    </row>
    <row r="1845" spans="1:12" x14ac:dyDescent="0.2">
      <c r="A1845" s="28" t="s">
        <v>7</v>
      </c>
      <c r="B1845" s="2" t="s">
        <v>29</v>
      </c>
      <c r="C1845" s="30">
        <v>0.5</v>
      </c>
      <c r="D1845" s="28">
        <f>YEAR(TableauFlitrage[[#This Row],[Date_d_adjudication]])</f>
        <v>2023</v>
      </c>
      <c r="E1845" s="28">
        <f t="shared" si="31"/>
        <v>12</v>
      </c>
      <c r="F1845" s="15">
        <v>45271</v>
      </c>
      <c r="G1845" s="28">
        <v>97.003179000000003</v>
      </c>
      <c r="H1845" s="15">
        <v>45455</v>
      </c>
      <c r="I1845">
        <v>45</v>
      </c>
      <c r="J1845">
        <v>20000</v>
      </c>
      <c r="K1845" s="28">
        <v>6.1109</v>
      </c>
    </row>
    <row r="1846" spans="1:12" x14ac:dyDescent="0.2">
      <c r="A1846" s="28" t="s">
        <v>8</v>
      </c>
      <c r="B1846" s="2" t="s">
        <v>29</v>
      </c>
      <c r="C1846" s="30">
        <v>0.25</v>
      </c>
      <c r="D1846" s="28">
        <f>YEAR(TableauFlitrage[[#This Row],[Date_d_adjudication]])</f>
        <v>2023</v>
      </c>
      <c r="E1846" s="28">
        <f t="shared" si="31"/>
        <v>12</v>
      </c>
      <c r="F1846" s="15">
        <v>45272</v>
      </c>
      <c r="G1846" s="28">
        <v>98.451267999999999</v>
      </c>
      <c r="H1846" s="15">
        <v>45365</v>
      </c>
      <c r="I1846">
        <v>77.142899999999997</v>
      </c>
      <c r="J1846">
        <v>35000</v>
      </c>
      <c r="K1846" s="28">
        <v>6.2232000000000003</v>
      </c>
    </row>
    <row r="1847" spans="1:12" x14ac:dyDescent="0.2">
      <c r="A1847" s="28" t="s">
        <v>8</v>
      </c>
      <c r="B1847" s="2" t="s">
        <v>29</v>
      </c>
      <c r="C1847" s="30">
        <v>0.5</v>
      </c>
      <c r="D1847" s="28">
        <f>YEAR(TableauFlitrage[[#This Row],[Date_d_adjudication]])</f>
        <v>2023</v>
      </c>
      <c r="E1847" s="28">
        <f t="shared" si="31"/>
        <v>12</v>
      </c>
      <c r="F1847" s="15">
        <v>45272</v>
      </c>
      <c r="G1847" s="28">
        <v>96.724851000000001</v>
      </c>
      <c r="H1847" s="15">
        <v>45456</v>
      </c>
      <c r="I1847">
        <v>57.726700000000001</v>
      </c>
      <c r="J1847">
        <v>15000</v>
      </c>
      <c r="K1847" s="28">
        <v>6.6977000000000002</v>
      </c>
    </row>
    <row r="1848" spans="1:12" x14ac:dyDescent="0.2">
      <c r="A1848" s="28" t="s">
        <v>8</v>
      </c>
      <c r="B1848" s="2" t="s">
        <v>29</v>
      </c>
      <c r="C1848" s="30">
        <v>1</v>
      </c>
      <c r="D1848" s="28">
        <f>YEAR(TableauFlitrage[[#This Row],[Date_d_adjudication]])</f>
        <v>2023</v>
      </c>
      <c r="E1848" s="28">
        <f t="shared" si="31"/>
        <v>12</v>
      </c>
      <c r="F1848" s="15">
        <v>45272</v>
      </c>
      <c r="G1848" s="28">
        <v>93.194356999999997</v>
      </c>
      <c r="H1848" s="15">
        <v>45638</v>
      </c>
      <c r="I1848">
        <v>85.47</v>
      </c>
      <c r="J1848">
        <v>10000</v>
      </c>
      <c r="K1848" s="28">
        <v>7.2224000000000004</v>
      </c>
    </row>
    <row r="1849" spans="1:12" x14ac:dyDescent="0.2">
      <c r="A1849" s="28" t="s">
        <v>8</v>
      </c>
      <c r="B1849" t="s">
        <v>30</v>
      </c>
      <c r="C1849" s="30" t="s">
        <v>54</v>
      </c>
      <c r="D1849" s="28">
        <f>YEAR(TableauFlitrage[[#This Row],[Date_d_adjudication]])</f>
        <v>2023</v>
      </c>
      <c r="E1849" s="28">
        <f t="shared" si="31"/>
        <v>12</v>
      </c>
      <c r="F1849" s="15">
        <v>45272</v>
      </c>
      <c r="G1849" s="28">
        <v>92</v>
      </c>
      <c r="H1849" s="15">
        <v>46370</v>
      </c>
      <c r="I1849">
        <v>24.062000000000001</v>
      </c>
      <c r="J1849">
        <v>15000</v>
      </c>
      <c r="K1849" s="28">
        <v>6</v>
      </c>
      <c r="L1849">
        <v>9.11</v>
      </c>
    </row>
    <row r="1850" spans="1:12" x14ac:dyDescent="0.2">
      <c r="A1850" s="28" t="s">
        <v>11</v>
      </c>
      <c r="B1850" s="2" t="s">
        <v>29</v>
      </c>
      <c r="C1850" s="30">
        <v>0.5</v>
      </c>
      <c r="D1850" s="28">
        <f>YEAR(TableauFlitrage[[#This Row],[Date_d_adjudication]])</f>
        <v>2023</v>
      </c>
      <c r="E1850" s="28">
        <f t="shared" si="31"/>
        <v>12</v>
      </c>
      <c r="F1850" s="15">
        <v>45273</v>
      </c>
      <c r="G1850" s="28">
        <v>96.608909999999995</v>
      </c>
      <c r="H1850" s="15">
        <v>45457</v>
      </c>
      <c r="I1850">
        <v>107.7</v>
      </c>
      <c r="J1850">
        <v>10000</v>
      </c>
      <c r="K1850" s="28">
        <v>6.9431000000000003</v>
      </c>
    </row>
    <row r="1851" spans="1:12" x14ac:dyDescent="0.2">
      <c r="A1851" s="28" t="s">
        <v>9</v>
      </c>
      <c r="B1851" t="s">
        <v>30</v>
      </c>
      <c r="C1851" s="30" t="s">
        <v>55</v>
      </c>
      <c r="D1851" s="28">
        <f>YEAR(TableauFlitrage[[#This Row],[Date_d_adjudication]])</f>
        <v>2023</v>
      </c>
      <c r="E1851" s="28">
        <f t="shared" si="31"/>
        <v>12</v>
      </c>
      <c r="F1851" s="15">
        <v>45273</v>
      </c>
      <c r="G1851" s="28">
        <v>90.595100000000002</v>
      </c>
      <c r="H1851" s="15">
        <v>47102</v>
      </c>
      <c r="I1851">
        <v>85.99</v>
      </c>
      <c r="J1851">
        <v>10000</v>
      </c>
      <c r="K1851" s="28">
        <v>6.5</v>
      </c>
      <c r="L1851">
        <v>8.8699999999999992</v>
      </c>
    </row>
    <row r="1852" spans="1:12" x14ac:dyDescent="0.2">
      <c r="A1852" s="28" t="s">
        <v>11</v>
      </c>
      <c r="B1852" t="s">
        <v>30</v>
      </c>
      <c r="C1852" s="30" t="s">
        <v>53</v>
      </c>
      <c r="D1852" s="28">
        <f>YEAR(TableauFlitrage[[#This Row],[Date_d_adjudication]])</f>
        <v>2023</v>
      </c>
      <c r="E1852" s="28">
        <f t="shared" si="31"/>
        <v>12</v>
      </c>
      <c r="F1852" s="15">
        <v>45273</v>
      </c>
      <c r="G1852" s="28">
        <v>90.118499999999997</v>
      </c>
      <c r="H1852" s="15">
        <v>46006</v>
      </c>
      <c r="I1852">
        <v>30.422599999999999</v>
      </c>
      <c r="J1852">
        <v>30000</v>
      </c>
      <c r="K1852" s="28">
        <v>6</v>
      </c>
      <c r="L1852">
        <v>11.68</v>
      </c>
    </row>
    <row r="1853" spans="1:12" x14ac:dyDescent="0.2">
      <c r="A1853" s="28" t="s">
        <v>7</v>
      </c>
      <c r="B1853" s="2" t="s">
        <v>29</v>
      </c>
      <c r="C1853" s="30">
        <v>0.5</v>
      </c>
      <c r="D1853" s="28">
        <f>YEAR(TableauFlitrage[[#This Row],[Date_d_adjudication]])</f>
        <v>2023</v>
      </c>
      <c r="E1853" s="28">
        <f t="shared" si="31"/>
        <v>12</v>
      </c>
      <c r="F1853" s="15">
        <v>45278</v>
      </c>
      <c r="G1853" s="28">
        <v>96.873851999999999</v>
      </c>
      <c r="H1853" s="15">
        <v>45462</v>
      </c>
      <c r="I1853">
        <v>89.814999999999998</v>
      </c>
      <c r="J1853">
        <v>60000</v>
      </c>
      <c r="K1853" s="28">
        <v>6.3830999999999998</v>
      </c>
    </row>
    <row r="1854" spans="1:12" x14ac:dyDescent="0.2">
      <c r="A1854" s="28" t="s">
        <v>7</v>
      </c>
      <c r="B1854" s="2" t="s">
        <v>29</v>
      </c>
      <c r="C1854" s="30">
        <v>1</v>
      </c>
      <c r="D1854" s="28">
        <f>YEAR(TableauFlitrage[[#This Row],[Date_d_adjudication]])</f>
        <v>2023</v>
      </c>
      <c r="E1854" s="28">
        <f t="shared" si="31"/>
        <v>12</v>
      </c>
      <c r="F1854" s="15">
        <v>45278</v>
      </c>
      <c r="G1854" s="28">
        <v>93.251147000000003</v>
      </c>
      <c r="H1854" s="15">
        <v>45644</v>
      </c>
      <c r="I1854">
        <v>95.416700000000006</v>
      </c>
      <c r="J1854">
        <v>30000</v>
      </c>
      <c r="K1854" s="28">
        <v>7.1577999999999999</v>
      </c>
    </row>
    <row r="1855" spans="1:12" x14ac:dyDescent="0.2">
      <c r="A1855" s="28" t="s">
        <v>7</v>
      </c>
      <c r="B1855" t="s">
        <v>30</v>
      </c>
      <c r="C1855" s="30" t="s">
        <v>53</v>
      </c>
      <c r="D1855" s="28">
        <f>YEAR(TableauFlitrage[[#This Row],[Date_d_adjudication]])</f>
        <v>2023</v>
      </c>
      <c r="E1855" s="28">
        <f t="shared" si="31"/>
        <v>12</v>
      </c>
      <c r="F1855" s="15">
        <v>45278</v>
      </c>
      <c r="G1855" s="28">
        <v>96.744900000000001</v>
      </c>
      <c r="H1855" s="15">
        <v>46011</v>
      </c>
      <c r="I1855">
        <v>65.099999999999994</v>
      </c>
      <c r="J1855">
        <v>30000</v>
      </c>
      <c r="K1855" s="28">
        <v>6</v>
      </c>
      <c r="L1855">
        <v>7.79</v>
      </c>
    </row>
    <row r="1856" spans="1:12" x14ac:dyDescent="0.2">
      <c r="A1856" s="28" t="s">
        <v>8</v>
      </c>
      <c r="B1856" s="2" t="s">
        <v>29</v>
      </c>
      <c r="C1856" s="30">
        <v>0.25</v>
      </c>
      <c r="D1856" s="28">
        <f>YEAR(TableauFlitrage[[#This Row],[Date_d_adjudication]])</f>
        <v>2023</v>
      </c>
      <c r="E1856" s="28">
        <f t="shared" si="31"/>
        <v>12</v>
      </c>
      <c r="F1856" s="15">
        <v>45279</v>
      </c>
      <c r="G1856" s="28">
        <v>98.397718999999995</v>
      </c>
      <c r="H1856" s="15">
        <v>45372</v>
      </c>
      <c r="I1856">
        <v>92.054500000000004</v>
      </c>
      <c r="J1856">
        <v>11000</v>
      </c>
      <c r="K1856" s="28">
        <v>6.4419000000000004</v>
      </c>
    </row>
    <row r="1857" spans="1:12" x14ac:dyDescent="0.2">
      <c r="A1857" s="28" t="s">
        <v>8</v>
      </c>
      <c r="B1857" s="2" t="s">
        <v>29</v>
      </c>
      <c r="C1857" s="30">
        <v>0.5</v>
      </c>
      <c r="D1857" s="28">
        <f>YEAR(TableauFlitrage[[#This Row],[Date_d_adjudication]])</f>
        <v>2023</v>
      </c>
      <c r="E1857" s="28">
        <f t="shared" si="31"/>
        <v>12</v>
      </c>
      <c r="F1857" s="15">
        <v>45279</v>
      </c>
      <c r="G1857" s="28">
        <v>96.854549000000006</v>
      </c>
      <c r="H1857" s="15">
        <v>45456</v>
      </c>
      <c r="I1857">
        <v>108.7286</v>
      </c>
      <c r="J1857">
        <v>7000</v>
      </c>
      <c r="K1857" s="28">
        <v>6.6807999999999996</v>
      </c>
    </row>
    <row r="1858" spans="1:12" x14ac:dyDescent="0.2">
      <c r="A1858" s="28" t="s">
        <v>8</v>
      </c>
      <c r="B1858" s="2" t="s">
        <v>29</v>
      </c>
      <c r="C1858" s="30">
        <v>1</v>
      </c>
      <c r="D1858" s="28">
        <f>YEAR(TableauFlitrage[[#This Row],[Date_d_adjudication]])</f>
        <v>2023</v>
      </c>
      <c r="E1858" s="28">
        <f t="shared" si="31"/>
        <v>12</v>
      </c>
      <c r="F1858" s="15">
        <v>45279</v>
      </c>
      <c r="G1858" s="28">
        <v>92.923902999999996</v>
      </c>
      <c r="H1858" s="15">
        <v>45645</v>
      </c>
      <c r="I1858">
        <v>50.384999999999998</v>
      </c>
      <c r="J1858">
        <v>20000</v>
      </c>
      <c r="K1858" s="28">
        <v>7.5312999999999999</v>
      </c>
    </row>
    <row r="1859" spans="1:12" x14ac:dyDescent="0.2">
      <c r="A1859" s="28" t="s">
        <v>8</v>
      </c>
      <c r="B1859" t="s">
        <v>30</v>
      </c>
      <c r="C1859" s="30" t="s">
        <v>54</v>
      </c>
      <c r="D1859" s="28">
        <f>YEAR(TableauFlitrage[[#This Row],[Date_d_adjudication]])</f>
        <v>2023</v>
      </c>
      <c r="E1859" s="28">
        <f t="shared" si="31"/>
        <v>12</v>
      </c>
      <c r="F1859" s="15">
        <v>45279</v>
      </c>
      <c r="G1859" s="28">
        <v>91.742800000000003</v>
      </c>
      <c r="H1859" s="15">
        <v>46370</v>
      </c>
      <c r="I1859">
        <v>76.36</v>
      </c>
      <c r="J1859">
        <v>5000</v>
      </c>
      <c r="K1859" s="28">
        <v>6</v>
      </c>
      <c r="L1859">
        <v>9.2100000000000009</v>
      </c>
    </row>
    <row r="1860" spans="1:12" x14ac:dyDescent="0.2">
      <c r="A1860" s="28" t="s">
        <v>9</v>
      </c>
      <c r="B1860" s="2" t="s">
        <v>29</v>
      </c>
      <c r="C1860" s="30">
        <v>0.5</v>
      </c>
      <c r="D1860" s="28">
        <f>YEAR(TableauFlitrage[[#This Row],[Date_d_adjudication]])</f>
        <v>2023</v>
      </c>
      <c r="E1860" s="28">
        <f t="shared" si="31"/>
        <v>12</v>
      </c>
      <c r="F1860" s="15">
        <v>45280</v>
      </c>
      <c r="G1860" s="28">
        <v>96.739715000000004</v>
      </c>
      <c r="H1860" s="15">
        <v>45464</v>
      </c>
      <c r="I1860">
        <v>46.066699999999997</v>
      </c>
      <c r="J1860">
        <v>7500</v>
      </c>
      <c r="K1860" s="28">
        <v>6.6662999999999997</v>
      </c>
    </row>
    <row r="1861" spans="1:12" x14ac:dyDescent="0.2">
      <c r="A1861" s="28" t="s">
        <v>11</v>
      </c>
      <c r="B1861" s="2" t="s">
        <v>29</v>
      </c>
      <c r="C1861" s="30">
        <v>0.5</v>
      </c>
      <c r="D1861" s="28">
        <f>YEAR(TableauFlitrage[[#This Row],[Date_d_adjudication]])</f>
        <v>2023</v>
      </c>
      <c r="E1861" s="28">
        <f t="shared" si="31"/>
        <v>12</v>
      </c>
      <c r="F1861" s="15">
        <v>45280</v>
      </c>
      <c r="G1861" s="28">
        <v>96.713888999999995</v>
      </c>
      <c r="H1861" s="15">
        <v>45464</v>
      </c>
      <c r="I1861">
        <v>79.466700000000003</v>
      </c>
      <c r="J1861">
        <v>15000</v>
      </c>
      <c r="K1861" s="28">
        <v>6.7209000000000003</v>
      </c>
    </row>
    <row r="1862" spans="1:12" x14ac:dyDescent="0.2">
      <c r="A1862" s="28" t="s">
        <v>9</v>
      </c>
      <c r="B1862" t="s">
        <v>30</v>
      </c>
      <c r="C1862" s="30" t="s">
        <v>56</v>
      </c>
      <c r="D1862" s="28">
        <f>YEAR(TableauFlitrage[[#This Row],[Date_d_adjudication]])</f>
        <v>2023</v>
      </c>
      <c r="E1862" s="28">
        <f t="shared" si="31"/>
        <v>12</v>
      </c>
      <c r="F1862" s="15">
        <v>45280</v>
      </c>
      <c r="G1862" s="28">
        <v>90.372100000000003</v>
      </c>
      <c r="H1862" s="15">
        <v>46722</v>
      </c>
      <c r="I1862">
        <v>56.461199999999998</v>
      </c>
      <c r="J1862">
        <v>10000</v>
      </c>
      <c r="K1862" s="28">
        <v>6.25</v>
      </c>
      <c r="L1862">
        <v>9.18</v>
      </c>
    </row>
    <row r="1863" spans="1:12" x14ac:dyDescent="0.2">
      <c r="A1863" s="28" t="s">
        <v>8</v>
      </c>
      <c r="B1863" s="2" t="s">
        <v>29</v>
      </c>
      <c r="C1863" s="30">
        <v>0.25</v>
      </c>
      <c r="D1863" s="28">
        <f>YEAR(TableauFlitrage[[#This Row],[Date_d_adjudication]])</f>
        <v>2023</v>
      </c>
      <c r="E1863" s="28">
        <f t="shared" si="31"/>
        <v>12</v>
      </c>
      <c r="F1863" s="15">
        <v>45286</v>
      </c>
      <c r="G1863" s="28">
        <v>98.377881000000002</v>
      </c>
      <c r="H1863" s="15">
        <v>45379</v>
      </c>
      <c r="I1863">
        <v>121.41330000000001</v>
      </c>
      <c r="J1863">
        <v>15000</v>
      </c>
      <c r="K1863" s="28">
        <v>6.5229999999999997</v>
      </c>
    </row>
    <row r="1864" spans="1:12" x14ac:dyDescent="0.2">
      <c r="A1864" s="28" t="s">
        <v>8</v>
      </c>
      <c r="B1864" s="2" t="s">
        <v>29</v>
      </c>
      <c r="C1864" s="30">
        <v>0.5</v>
      </c>
      <c r="D1864" s="28">
        <f>YEAR(TableauFlitrage[[#This Row],[Date_d_adjudication]])</f>
        <v>2023</v>
      </c>
      <c r="E1864" s="28">
        <f t="shared" si="31"/>
        <v>12</v>
      </c>
      <c r="F1864" s="15">
        <v>45286</v>
      </c>
      <c r="G1864" s="28">
        <v>96.619333999999995</v>
      </c>
      <c r="H1864" s="15">
        <v>45470</v>
      </c>
      <c r="I1864">
        <v>26.7333</v>
      </c>
      <c r="J1864">
        <v>15000</v>
      </c>
      <c r="K1864" s="28">
        <v>6.9210000000000003</v>
      </c>
    </row>
    <row r="1865" spans="1:12" x14ac:dyDescent="0.2">
      <c r="A1865" s="28" t="s">
        <v>8</v>
      </c>
      <c r="B1865" s="2" t="s">
        <v>29</v>
      </c>
      <c r="C1865" s="30">
        <v>1</v>
      </c>
      <c r="D1865" s="28">
        <f>YEAR(TableauFlitrage[[#This Row],[Date_d_adjudication]])</f>
        <v>2023</v>
      </c>
      <c r="E1865" s="28">
        <f t="shared" si="31"/>
        <v>12</v>
      </c>
      <c r="F1865" s="15">
        <v>45286</v>
      </c>
      <c r="G1865" s="28">
        <v>92.938271999999998</v>
      </c>
      <c r="H1865" s="15">
        <v>45652</v>
      </c>
      <c r="I1865">
        <v>54.02</v>
      </c>
      <c r="J1865">
        <v>10000</v>
      </c>
      <c r="K1865" s="28">
        <v>7.5148000000000001</v>
      </c>
    </row>
    <row r="1866" spans="1:12" x14ac:dyDescent="0.2">
      <c r="A1866" s="28" t="s">
        <v>8</v>
      </c>
      <c r="B1866" t="s">
        <v>30</v>
      </c>
      <c r="C1866" s="30" t="s">
        <v>54</v>
      </c>
      <c r="D1866" s="28">
        <f>YEAR(TableauFlitrage[[#This Row],[Date_d_adjudication]])</f>
        <v>2023</v>
      </c>
      <c r="E1866" s="28">
        <f t="shared" si="31"/>
        <v>12</v>
      </c>
      <c r="F1866" s="15">
        <v>45286</v>
      </c>
      <c r="G1866" s="28">
        <v>91.003100000000003</v>
      </c>
      <c r="H1866" s="15">
        <v>46370</v>
      </c>
      <c r="I1866">
        <v>44.173299999999998</v>
      </c>
      <c r="J1866">
        <v>15000</v>
      </c>
      <c r="K1866" s="28">
        <v>6</v>
      </c>
      <c r="L1866">
        <v>9.52</v>
      </c>
    </row>
    <row r="1867" spans="1:12" x14ac:dyDescent="0.2">
      <c r="A1867" s="28" t="s">
        <v>9</v>
      </c>
      <c r="B1867" s="2" t="s">
        <v>29</v>
      </c>
      <c r="C1867" s="30">
        <v>0.5</v>
      </c>
      <c r="D1867" s="28">
        <f>YEAR(TableauFlitrage[[#This Row],[Date_d_adjudication]])</f>
        <v>2023</v>
      </c>
      <c r="E1867" s="28">
        <f t="shared" si="31"/>
        <v>12</v>
      </c>
      <c r="F1867" s="15">
        <v>45287</v>
      </c>
      <c r="G1867" s="28">
        <v>96.713888999999995</v>
      </c>
      <c r="H1867" s="15">
        <v>45471</v>
      </c>
      <c r="I1867">
        <v>66.666700000000006</v>
      </c>
      <c r="J1867">
        <v>9000</v>
      </c>
      <c r="K1867" s="28">
        <v>6.7209000000000003</v>
      </c>
    </row>
    <row r="1868" spans="1:12" x14ac:dyDescent="0.2">
      <c r="A1868" s="28" t="s">
        <v>11</v>
      </c>
      <c r="B1868" s="2" t="s">
        <v>29</v>
      </c>
      <c r="C1868" s="30">
        <v>0.5</v>
      </c>
      <c r="D1868" s="28">
        <f>YEAR(TableauFlitrage[[#This Row],[Date_d_adjudication]])</f>
        <v>2023</v>
      </c>
      <c r="E1868" s="28">
        <f t="shared" si="31"/>
        <v>12</v>
      </c>
      <c r="F1868" s="15">
        <v>45287</v>
      </c>
      <c r="G1868" s="28">
        <v>96.588784000000004</v>
      </c>
      <c r="H1868" s="15">
        <v>45471</v>
      </c>
      <c r="I1868">
        <v>50.21</v>
      </c>
      <c r="J1868">
        <v>10000</v>
      </c>
      <c r="K1868" s="28">
        <v>6.9858000000000002</v>
      </c>
    </row>
    <row r="1869" spans="1:12" x14ac:dyDescent="0.2">
      <c r="A1869" s="28" t="s">
        <v>7</v>
      </c>
      <c r="B1869" s="2" t="s">
        <v>29</v>
      </c>
      <c r="C1869" s="30">
        <v>0.25</v>
      </c>
      <c r="D1869" s="28">
        <f>YEAR(TableauFlitrage[[#This Row],[Date_d_adjudication]])</f>
        <v>2024</v>
      </c>
      <c r="E1869" s="28">
        <f t="shared" si="31"/>
        <v>1</v>
      </c>
      <c r="F1869" s="15">
        <v>45292</v>
      </c>
      <c r="G1869" s="28">
        <v>98.508611000000002</v>
      </c>
      <c r="H1869" s="15">
        <v>45385</v>
      </c>
      <c r="I1869">
        <v>108</v>
      </c>
      <c r="J1869">
        <v>25000</v>
      </c>
      <c r="K1869" s="28">
        <v>5.9893000000000001</v>
      </c>
    </row>
    <row r="1870" spans="1:12" x14ac:dyDescent="0.2">
      <c r="A1870" s="28" t="s">
        <v>7</v>
      </c>
      <c r="B1870" s="2" t="s">
        <v>29</v>
      </c>
      <c r="C1870" s="30">
        <v>0.5</v>
      </c>
      <c r="D1870" s="28">
        <f>YEAR(TableauFlitrage[[#This Row],[Date_d_adjudication]])</f>
        <v>2024</v>
      </c>
      <c r="E1870" s="28">
        <f t="shared" si="31"/>
        <v>1</v>
      </c>
      <c r="F1870" s="15">
        <v>45292</v>
      </c>
      <c r="G1870" s="28">
        <v>96.840277999999998</v>
      </c>
      <c r="H1870" s="15">
        <v>45476</v>
      </c>
      <c r="I1870">
        <v>102.55</v>
      </c>
      <c r="J1870">
        <v>20000</v>
      </c>
      <c r="K1870" s="28">
        <v>6.4539</v>
      </c>
    </row>
    <row r="1871" spans="1:12" x14ac:dyDescent="0.2">
      <c r="A1871" s="28" t="s">
        <v>7</v>
      </c>
      <c r="B1871" s="2" t="s">
        <v>29</v>
      </c>
      <c r="C1871" s="30">
        <v>1</v>
      </c>
      <c r="D1871" s="28">
        <f>YEAR(TableauFlitrage[[#This Row],[Date_d_adjudication]])</f>
        <v>2024</v>
      </c>
      <c r="E1871" s="28">
        <f t="shared" si="31"/>
        <v>1</v>
      </c>
      <c r="F1871" s="15">
        <v>45292</v>
      </c>
      <c r="G1871" s="28">
        <v>93.427778000000004</v>
      </c>
      <c r="H1871" s="15">
        <v>45658</v>
      </c>
      <c r="I1871">
        <v>45.05</v>
      </c>
      <c r="J1871">
        <v>20000</v>
      </c>
      <c r="K1871" s="28">
        <v>6.9572000000000003</v>
      </c>
    </row>
    <row r="1872" spans="1:12" x14ac:dyDescent="0.2">
      <c r="A1872" s="28" t="s">
        <v>8</v>
      </c>
      <c r="B1872" s="2" t="s">
        <v>29</v>
      </c>
      <c r="C1872" s="30">
        <v>0.5</v>
      </c>
      <c r="D1872" s="28">
        <f>YEAR(TableauFlitrage[[#This Row],[Date_d_adjudication]])</f>
        <v>2024</v>
      </c>
      <c r="E1872" s="28">
        <f t="shared" si="31"/>
        <v>1</v>
      </c>
      <c r="F1872" s="15">
        <v>45293</v>
      </c>
      <c r="G1872" s="28">
        <v>96.713888999999995</v>
      </c>
      <c r="H1872" s="15">
        <v>45477</v>
      </c>
      <c r="I1872">
        <v>80.333299999999994</v>
      </c>
      <c r="J1872">
        <v>15000</v>
      </c>
      <c r="K1872" s="28">
        <v>6.7209000000000003</v>
      </c>
    </row>
    <row r="1873" spans="1:12" x14ac:dyDescent="0.2">
      <c r="A1873" s="28" t="s">
        <v>9</v>
      </c>
      <c r="B1873" s="2" t="s">
        <v>29</v>
      </c>
      <c r="C1873" s="30">
        <v>0.25</v>
      </c>
      <c r="D1873" s="28">
        <f>YEAR(TableauFlitrage[[#This Row],[Date_d_adjudication]])</f>
        <v>2024</v>
      </c>
      <c r="E1873" s="28">
        <f t="shared" si="31"/>
        <v>1</v>
      </c>
      <c r="F1873" s="15">
        <v>45294</v>
      </c>
      <c r="G1873" s="28">
        <v>98.474947999999998</v>
      </c>
      <c r="H1873" s="15">
        <v>45387</v>
      </c>
      <c r="I1873">
        <v>47.22</v>
      </c>
      <c r="J1873">
        <v>10000</v>
      </c>
      <c r="K1873" s="28">
        <v>6.1265999999999998</v>
      </c>
    </row>
    <row r="1874" spans="1:12" x14ac:dyDescent="0.2">
      <c r="A1874" s="28" t="s">
        <v>7</v>
      </c>
      <c r="B1874" s="2" t="s">
        <v>29</v>
      </c>
      <c r="C1874" s="30">
        <v>0.5</v>
      </c>
      <c r="D1874" s="28">
        <f>YEAR(TableauFlitrage[[#This Row],[Date_d_adjudication]])</f>
        <v>2024</v>
      </c>
      <c r="E1874" s="28">
        <f t="shared" si="31"/>
        <v>1</v>
      </c>
      <c r="F1874" s="15">
        <v>45299</v>
      </c>
      <c r="G1874" s="28">
        <v>96.813142999999997</v>
      </c>
      <c r="H1874" s="15">
        <v>45483</v>
      </c>
      <c r="I1874">
        <v>96.546000000000006</v>
      </c>
      <c r="J1874">
        <v>50000</v>
      </c>
      <c r="K1874" s="28">
        <v>6.5111999999999997</v>
      </c>
    </row>
    <row r="1875" spans="1:12" x14ac:dyDescent="0.2">
      <c r="A1875" s="28" t="s">
        <v>8</v>
      </c>
      <c r="B1875" s="2" t="s">
        <v>29</v>
      </c>
      <c r="C1875" s="30">
        <v>0.25</v>
      </c>
      <c r="D1875" s="28">
        <f>YEAR(TableauFlitrage[[#This Row],[Date_d_adjudication]])</f>
        <v>2024</v>
      </c>
      <c r="E1875" s="28">
        <f t="shared" si="31"/>
        <v>1</v>
      </c>
      <c r="F1875" s="15">
        <v>45300</v>
      </c>
      <c r="G1875" s="28">
        <v>98.408756999999994</v>
      </c>
      <c r="H1875" s="15">
        <v>45393</v>
      </c>
      <c r="I1875">
        <v>115.9267</v>
      </c>
      <c r="J1875">
        <v>15000</v>
      </c>
      <c r="K1875" s="28">
        <v>6.3967999999999998</v>
      </c>
    </row>
    <row r="1876" spans="1:12" x14ac:dyDescent="0.2">
      <c r="A1876" s="28" t="s">
        <v>8</v>
      </c>
      <c r="B1876" t="s">
        <v>30</v>
      </c>
      <c r="C1876" s="30" t="s">
        <v>54</v>
      </c>
      <c r="D1876" s="28">
        <f>YEAR(TableauFlitrage[[#This Row],[Date_d_adjudication]])</f>
        <v>2024</v>
      </c>
      <c r="E1876" s="28">
        <f t="shared" si="31"/>
        <v>1</v>
      </c>
      <c r="F1876" s="15">
        <v>45300</v>
      </c>
      <c r="G1876" s="28">
        <v>92.194500000000005</v>
      </c>
      <c r="H1876" s="15">
        <v>46398</v>
      </c>
      <c r="I1876">
        <v>95.662000000000006</v>
      </c>
      <c r="J1876">
        <v>5000</v>
      </c>
      <c r="K1876" s="28">
        <v>6</v>
      </c>
      <c r="L1876">
        <v>9.0299999999999994</v>
      </c>
    </row>
    <row r="1877" spans="1:12" x14ac:dyDescent="0.2">
      <c r="A1877" s="28" t="s">
        <v>8</v>
      </c>
      <c r="B1877" t="s">
        <v>30</v>
      </c>
      <c r="C1877" s="30" t="s">
        <v>56</v>
      </c>
      <c r="D1877" s="28">
        <f>YEAR(TableauFlitrage[[#This Row],[Date_d_adjudication]])</f>
        <v>2024</v>
      </c>
      <c r="E1877" s="28">
        <f t="shared" si="31"/>
        <v>1</v>
      </c>
      <c r="F1877" s="15">
        <v>45300</v>
      </c>
      <c r="G1877" s="28">
        <v>91.570899999999995</v>
      </c>
      <c r="H1877" s="15">
        <v>46763</v>
      </c>
      <c r="I1877">
        <v>24.24</v>
      </c>
      <c r="J1877">
        <v>5000</v>
      </c>
      <c r="K1877" s="28">
        <v>6.2</v>
      </c>
      <c r="L1877">
        <v>8.74</v>
      </c>
    </row>
    <row r="1878" spans="1:12" x14ac:dyDescent="0.2">
      <c r="A1878" s="28" t="s">
        <v>9</v>
      </c>
      <c r="B1878" s="2" t="s">
        <v>29</v>
      </c>
      <c r="C1878" s="30">
        <v>0.5</v>
      </c>
      <c r="D1878" s="28">
        <f>YEAR(TableauFlitrage[[#This Row],[Date_d_adjudication]])</f>
        <v>2024</v>
      </c>
      <c r="E1878" s="28">
        <f t="shared" ref="E1878:E1940" si="32">MONTH(F1878)</f>
        <v>1</v>
      </c>
      <c r="F1878" s="15">
        <v>45301</v>
      </c>
      <c r="G1878" s="28">
        <v>96.729742999999999</v>
      </c>
      <c r="H1878" s="15">
        <v>45485</v>
      </c>
      <c r="I1878">
        <v>74.75</v>
      </c>
      <c r="J1878">
        <v>10000</v>
      </c>
      <c r="K1878" s="28">
        <v>6.6872999999999996</v>
      </c>
    </row>
    <row r="1879" spans="1:12" x14ac:dyDescent="0.2">
      <c r="A1879" s="28" t="s">
        <v>7</v>
      </c>
      <c r="B1879" s="2" t="s">
        <v>29</v>
      </c>
      <c r="C1879" s="30">
        <v>0.5</v>
      </c>
      <c r="D1879" s="28">
        <f>YEAR(TableauFlitrage[[#This Row],[Date_d_adjudication]])</f>
        <v>2024</v>
      </c>
      <c r="E1879" s="28">
        <f t="shared" si="32"/>
        <v>1</v>
      </c>
      <c r="F1879" s="15">
        <v>45306</v>
      </c>
      <c r="G1879" s="28">
        <v>96.760481999999996</v>
      </c>
      <c r="H1879" s="15">
        <v>45490</v>
      </c>
      <c r="I1879">
        <v>93.974999999999994</v>
      </c>
      <c r="J1879">
        <v>20000</v>
      </c>
      <c r="K1879" s="28">
        <v>6.6223999999999998</v>
      </c>
    </row>
    <row r="1880" spans="1:12" x14ac:dyDescent="0.2">
      <c r="A1880" s="28" t="s">
        <v>8</v>
      </c>
      <c r="B1880" s="2" t="s">
        <v>29</v>
      </c>
      <c r="C1880" s="30">
        <v>0.25</v>
      </c>
      <c r="D1880" s="28">
        <f>YEAR(TableauFlitrage[[#This Row],[Date_d_adjudication]])</f>
        <v>2024</v>
      </c>
      <c r="E1880" s="28">
        <f t="shared" si="32"/>
        <v>1</v>
      </c>
      <c r="F1880" s="15">
        <v>45307</v>
      </c>
      <c r="G1880" s="28">
        <v>98.362671000000006</v>
      </c>
      <c r="H1880" s="15">
        <v>45400</v>
      </c>
      <c r="I1880">
        <v>151.84620000000001</v>
      </c>
      <c r="J1880">
        <v>13000</v>
      </c>
      <c r="K1880" s="28">
        <v>6.5852000000000004</v>
      </c>
    </row>
    <row r="1881" spans="1:12" x14ac:dyDescent="0.2">
      <c r="A1881" s="28" t="s">
        <v>8</v>
      </c>
      <c r="B1881" s="2" t="s">
        <v>29</v>
      </c>
      <c r="C1881" s="30">
        <v>0.5</v>
      </c>
      <c r="D1881" s="28">
        <f>YEAR(TableauFlitrage[[#This Row],[Date_d_adjudication]])</f>
        <v>2024</v>
      </c>
      <c r="E1881" s="28">
        <f t="shared" si="32"/>
        <v>1</v>
      </c>
      <c r="F1881" s="15">
        <v>45307</v>
      </c>
      <c r="G1881" s="28">
        <v>96.615568999999994</v>
      </c>
      <c r="H1881" s="15">
        <v>45491</v>
      </c>
      <c r="I1881">
        <v>101.875</v>
      </c>
      <c r="J1881">
        <v>12000</v>
      </c>
      <c r="K1881" s="28">
        <v>6.9290000000000003</v>
      </c>
    </row>
    <row r="1882" spans="1:12" x14ac:dyDescent="0.2">
      <c r="A1882" s="28" t="s">
        <v>10</v>
      </c>
      <c r="B1882" s="2" t="s">
        <v>29</v>
      </c>
      <c r="C1882" s="30">
        <v>1</v>
      </c>
      <c r="D1882" s="28">
        <f>YEAR(TableauFlitrage[[#This Row],[Date_d_adjudication]])</f>
        <v>2024</v>
      </c>
      <c r="E1882" s="28">
        <f t="shared" si="32"/>
        <v>1</v>
      </c>
      <c r="F1882" s="15">
        <v>45307</v>
      </c>
      <c r="G1882" s="28">
        <v>93.566806</v>
      </c>
      <c r="H1882" s="15">
        <v>45673</v>
      </c>
      <c r="I1882">
        <v>161.35</v>
      </c>
      <c r="J1882">
        <v>10000</v>
      </c>
      <c r="K1882" s="28">
        <v>6.8</v>
      </c>
    </row>
    <row r="1883" spans="1:12" x14ac:dyDescent="0.2">
      <c r="A1883" s="28" t="s">
        <v>8</v>
      </c>
      <c r="B1883" t="s">
        <v>30</v>
      </c>
      <c r="C1883" s="30" t="s">
        <v>54</v>
      </c>
      <c r="D1883" s="28">
        <f>YEAR(TableauFlitrage[[#This Row],[Date_d_adjudication]])</f>
        <v>2024</v>
      </c>
      <c r="E1883" s="28">
        <f t="shared" si="32"/>
        <v>1</v>
      </c>
      <c r="F1883" s="15">
        <v>45307</v>
      </c>
      <c r="G1883" s="28">
        <v>90.387799999999999</v>
      </c>
      <c r="H1883" s="15">
        <v>46398</v>
      </c>
      <c r="I1883">
        <v>46.77</v>
      </c>
      <c r="J1883">
        <v>5000</v>
      </c>
      <c r="K1883" s="28">
        <v>6</v>
      </c>
      <c r="L1883">
        <v>9.77</v>
      </c>
    </row>
    <row r="1884" spans="1:12" x14ac:dyDescent="0.2">
      <c r="A1884" s="28" t="s">
        <v>9</v>
      </c>
      <c r="B1884" s="2" t="s">
        <v>29</v>
      </c>
      <c r="C1884" s="30">
        <v>0.5</v>
      </c>
      <c r="D1884" s="28">
        <f>YEAR(TableauFlitrage[[#This Row],[Date_d_adjudication]])</f>
        <v>2024</v>
      </c>
      <c r="E1884" s="28">
        <f t="shared" si="32"/>
        <v>1</v>
      </c>
      <c r="F1884" s="15">
        <v>45308</v>
      </c>
      <c r="G1884" s="28">
        <v>96.742655999999997</v>
      </c>
      <c r="H1884" s="15">
        <v>45492</v>
      </c>
      <c r="I1884">
        <v>42.6</v>
      </c>
      <c r="J1884">
        <v>10000</v>
      </c>
      <c r="K1884" s="28">
        <v>6.66</v>
      </c>
    </row>
    <row r="1885" spans="1:12" x14ac:dyDescent="0.2">
      <c r="A1885" s="28" t="s">
        <v>11</v>
      </c>
      <c r="B1885" s="2" t="s">
        <v>29</v>
      </c>
      <c r="C1885" s="30">
        <v>0.5</v>
      </c>
      <c r="D1885" s="28">
        <f>YEAR(TableauFlitrage[[#This Row],[Date_d_adjudication]])</f>
        <v>2024</v>
      </c>
      <c r="E1885" s="28">
        <f t="shared" si="32"/>
        <v>1</v>
      </c>
      <c r="F1885" s="15">
        <v>45308</v>
      </c>
      <c r="G1885" s="28">
        <v>96.587575000000001</v>
      </c>
      <c r="H1885" s="15">
        <v>45492</v>
      </c>
      <c r="I1885">
        <v>50.63</v>
      </c>
      <c r="J1885">
        <v>10000</v>
      </c>
      <c r="K1885" s="28">
        <v>6.9882999999999997</v>
      </c>
    </row>
    <row r="1886" spans="1:12" x14ac:dyDescent="0.2">
      <c r="A1886" s="28" t="s">
        <v>9</v>
      </c>
      <c r="B1886" t="s">
        <v>30</v>
      </c>
      <c r="C1886" s="30" t="s">
        <v>56</v>
      </c>
      <c r="D1886" s="28">
        <f>YEAR(TableauFlitrage[[#This Row],[Date_d_adjudication]])</f>
        <v>2024</v>
      </c>
      <c r="E1886" s="28">
        <f t="shared" si="32"/>
        <v>1</v>
      </c>
      <c r="F1886" s="15">
        <v>45308</v>
      </c>
      <c r="G1886" s="28">
        <v>91.288700000000006</v>
      </c>
      <c r="H1886" s="15">
        <v>46722</v>
      </c>
      <c r="I1886">
        <v>110.69750000000001</v>
      </c>
      <c r="J1886">
        <v>10000</v>
      </c>
      <c r="K1886" s="28">
        <v>6.25</v>
      </c>
      <c r="L1886">
        <v>8.89</v>
      </c>
    </row>
    <row r="1887" spans="1:12" x14ac:dyDescent="0.2">
      <c r="A1887" s="28" t="s">
        <v>11</v>
      </c>
      <c r="B1887" t="s">
        <v>30</v>
      </c>
      <c r="C1887" s="30" t="s">
        <v>53</v>
      </c>
      <c r="D1887" s="28">
        <f>YEAR(TableauFlitrage[[#This Row],[Date_d_adjudication]])</f>
        <v>2024</v>
      </c>
      <c r="E1887" s="28">
        <f t="shared" si="32"/>
        <v>1</v>
      </c>
      <c r="F1887" s="15">
        <v>45308</v>
      </c>
      <c r="G1887" s="28">
        <v>90.232900000000001</v>
      </c>
      <c r="H1887" s="15">
        <v>46041</v>
      </c>
      <c r="I1887">
        <v>36.208300000000001</v>
      </c>
      <c r="J1887">
        <v>30000</v>
      </c>
      <c r="K1887" s="28">
        <v>6</v>
      </c>
      <c r="L1887">
        <v>11.61</v>
      </c>
    </row>
    <row r="1888" spans="1:12" x14ac:dyDescent="0.2">
      <c r="A1888" s="28" t="s">
        <v>14</v>
      </c>
      <c r="B1888" t="s">
        <v>30</v>
      </c>
      <c r="C1888" s="30" t="s">
        <v>53</v>
      </c>
      <c r="D1888" s="28">
        <f>YEAR(TableauFlitrage[[#This Row],[Date_d_adjudication]])</f>
        <v>2024</v>
      </c>
      <c r="E1888" s="28">
        <f t="shared" si="32"/>
        <v>1</v>
      </c>
      <c r="F1888" s="15">
        <v>45313</v>
      </c>
      <c r="G1888" s="28">
        <v>90.082899999999995</v>
      </c>
      <c r="H1888" s="15">
        <v>46046</v>
      </c>
      <c r="I1888">
        <v>36.159999999999997</v>
      </c>
      <c r="J1888">
        <v>5000</v>
      </c>
      <c r="K1888" s="28">
        <v>5.5</v>
      </c>
      <c r="L1888">
        <v>11.17</v>
      </c>
    </row>
    <row r="1889" spans="1:12" x14ac:dyDescent="0.2">
      <c r="A1889" s="28" t="s">
        <v>9</v>
      </c>
      <c r="B1889" s="2" t="s">
        <v>29</v>
      </c>
      <c r="C1889" s="30">
        <v>0.25</v>
      </c>
      <c r="D1889" s="28">
        <f>YEAR(TableauFlitrage[[#This Row],[Date_d_adjudication]])</f>
        <v>2024</v>
      </c>
      <c r="E1889" s="28">
        <f t="shared" si="32"/>
        <v>1</v>
      </c>
      <c r="F1889" s="15">
        <v>45315</v>
      </c>
      <c r="G1889" s="28">
        <v>98.456271999999998</v>
      </c>
      <c r="H1889" s="15">
        <v>45408</v>
      </c>
      <c r="I1889">
        <v>144.56</v>
      </c>
      <c r="J1889">
        <v>15000</v>
      </c>
      <c r="K1889" s="28">
        <v>6.2027999999999999</v>
      </c>
    </row>
    <row r="1890" spans="1:12" x14ac:dyDescent="0.2">
      <c r="A1890" s="28" t="s">
        <v>11</v>
      </c>
      <c r="B1890" s="2" t="s">
        <v>29</v>
      </c>
      <c r="C1890" s="30">
        <v>0.5</v>
      </c>
      <c r="D1890" s="28">
        <f>YEAR(TableauFlitrage[[#This Row],[Date_d_adjudication]])</f>
        <v>2024</v>
      </c>
      <c r="E1890" s="28">
        <f t="shared" si="32"/>
        <v>1</v>
      </c>
      <c r="F1890" s="15">
        <v>45315</v>
      </c>
      <c r="G1890" s="28">
        <v>96.698879000000005</v>
      </c>
      <c r="H1890" s="15">
        <v>45499</v>
      </c>
      <c r="I1890">
        <v>13.515000000000001</v>
      </c>
      <c r="J1890">
        <v>20000</v>
      </c>
      <c r="K1890" s="28">
        <v>6.7526000000000002</v>
      </c>
    </row>
    <row r="1891" spans="1:12" x14ac:dyDescent="0.2">
      <c r="A1891" s="28" t="s">
        <v>11</v>
      </c>
      <c r="B1891" t="s">
        <v>30</v>
      </c>
      <c r="C1891" s="30" t="s">
        <v>53</v>
      </c>
      <c r="D1891" s="28">
        <f>YEAR(TableauFlitrage[[#This Row],[Date_d_adjudication]])</f>
        <v>2024</v>
      </c>
      <c r="E1891" s="28">
        <f t="shared" si="32"/>
        <v>1</v>
      </c>
      <c r="F1891" s="15">
        <v>45315</v>
      </c>
      <c r="G1891" s="28">
        <v>90.027000000000001</v>
      </c>
      <c r="H1891" s="15">
        <v>46048</v>
      </c>
      <c r="I1891">
        <v>55.595399999999998</v>
      </c>
      <c r="J1891">
        <v>30000</v>
      </c>
      <c r="K1891" s="28">
        <v>6</v>
      </c>
      <c r="L1891">
        <v>11.74</v>
      </c>
    </row>
    <row r="1892" spans="1:12" x14ac:dyDescent="0.2">
      <c r="A1892" s="28" t="s">
        <v>7</v>
      </c>
      <c r="B1892" s="2" t="s">
        <v>29</v>
      </c>
      <c r="C1892" s="30">
        <v>0.25</v>
      </c>
      <c r="D1892" s="28">
        <f>YEAR(TableauFlitrage[[#This Row],[Date_d_adjudication]])</f>
        <v>2024</v>
      </c>
      <c r="E1892" s="28">
        <f t="shared" si="32"/>
        <v>1</v>
      </c>
      <c r="F1892" s="15">
        <v>45320</v>
      </c>
      <c r="G1892" s="28">
        <v>98.487444999999994</v>
      </c>
      <c r="H1892" s="15">
        <v>45413</v>
      </c>
      <c r="I1892">
        <v>60.33</v>
      </c>
      <c r="J1892">
        <v>20000</v>
      </c>
      <c r="K1892" s="28">
        <v>6.0755999999999997</v>
      </c>
    </row>
    <row r="1893" spans="1:12" x14ac:dyDescent="0.2">
      <c r="A1893" s="28" t="s">
        <v>19</v>
      </c>
      <c r="B1893" s="2" t="s">
        <v>29</v>
      </c>
      <c r="C1893" s="30">
        <v>0.5</v>
      </c>
      <c r="D1893" s="28">
        <f>YEAR(TableauFlitrage[[#This Row],[Date_d_adjudication]])</f>
        <v>2024</v>
      </c>
      <c r="E1893" s="28">
        <f t="shared" si="32"/>
        <v>1</v>
      </c>
      <c r="F1893" s="15">
        <v>45320</v>
      </c>
      <c r="G1893" s="28">
        <v>96.258888999999996</v>
      </c>
      <c r="H1893" s="15">
        <v>45504</v>
      </c>
      <c r="I1893">
        <v>40</v>
      </c>
      <c r="J1893">
        <v>5000</v>
      </c>
      <c r="K1893" s="28">
        <v>7.6875999999999998</v>
      </c>
    </row>
    <row r="1894" spans="1:12" x14ac:dyDescent="0.2">
      <c r="A1894" s="28" t="s">
        <v>8</v>
      </c>
      <c r="B1894" s="2" t="s">
        <v>29</v>
      </c>
      <c r="C1894" s="30">
        <v>0.25</v>
      </c>
      <c r="D1894" s="28">
        <f>YEAR(TableauFlitrage[[#This Row],[Date_d_adjudication]])</f>
        <v>2024</v>
      </c>
      <c r="E1894" s="28">
        <f t="shared" si="32"/>
        <v>1</v>
      </c>
      <c r="F1894" s="15">
        <v>45321</v>
      </c>
      <c r="G1894" s="28">
        <v>98.437698999999995</v>
      </c>
      <c r="H1894" s="15">
        <v>45414</v>
      </c>
      <c r="I1894">
        <v>167.60669999999999</v>
      </c>
      <c r="J1894">
        <v>15000</v>
      </c>
      <c r="K1894" s="28">
        <v>6.2786</v>
      </c>
    </row>
    <row r="1895" spans="1:12" x14ac:dyDescent="0.2">
      <c r="A1895" s="28" t="s">
        <v>8</v>
      </c>
      <c r="B1895" s="2" t="s">
        <v>29</v>
      </c>
      <c r="C1895" s="30">
        <v>0.5</v>
      </c>
      <c r="D1895" s="28">
        <f>YEAR(TableauFlitrage[[#This Row],[Date_d_adjudication]])</f>
        <v>2024</v>
      </c>
      <c r="E1895" s="28">
        <f t="shared" si="32"/>
        <v>1</v>
      </c>
      <c r="F1895" s="15">
        <v>45321</v>
      </c>
      <c r="G1895" s="28">
        <v>96.683671000000004</v>
      </c>
      <c r="H1895" s="15">
        <v>45505</v>
      </c>
      <c r="I1895">
        <v>60.3</v>
      </c>
      <c r="J1895">
        <v>15000</v>
      </c>
      <c r="K1895" s="28">
        <v>6.7847999999999997</v>
      </c>
    </row>
    <row r="1896" spans="1:12" x14ac:dyDescent="0.2">
      <c r="A1896" s="28" t="s">
        <v>10</v>
      </c>
      <c r="B1896" s="2" t="s">
        <v>29</v>
      </c>
      <c r="C1896" s="30">
        <v>1</v>
      </c>
      <c r="D1896" s="28">
        <f>YEAR(TableauFlitrage[[#This Row],[Date_d_adjudication]])</f>
        <v>2024</v>
      </c>
      <c r="E1896" s="28">
        <f t="shared" si="32"/>
        <v>1</v>
      </c>
      <c r="F1896" s="15">
        <v>45321</v>
      </c>
      <c r="G1896" s="28">
        <v>93.542370000000005</v>
      </c>
      <c r="H1896" s="15">
        <v>45687</v>
      </c>
      <c r="I1896">
        <v>147.72</v>
      </c>
      <c r="J1896">
        <v>15000</v>
      </c>
      <c r="K1896" s="28">
        <v>6.8276000000000003</v>
      </c>
    </row>
    <row r="1897" spans="1:12" x14ac:dyDescent="0.2">
      <c r="A1897" s="28" t="s">
        <v>8</v>
      </c>
      <c r="B1897" t="s">
        <v>30</v>
      </c>
      <c r="C1897" s="30" t="s">
        <v>54</v>
      </c>
      <c r="D1897" s="28">
        <f>YEAR(TableauFlitrage[[#This Row],[Date_d_adjudication]])</f>
        <v>2024</v>
      </c>
      <c r="E1897" s="28">
        <f t="shared" si="32"/>
        <v>1</v>
      </c>
      <c r="F1897" s="15">
        <v>45321</v>
      </c>
      <c r="G1897" s="28">
        <v>92.095500000000001</v>
      </c>
      <c r="H1897" s="15">
        <v>46419</v>
      </c>
      <c r="I1897">
        <v>21.0426</v>
      </c>
      <c r="J1897">
        <v>30000</v>
      </c>
      <c r="K1897" s="28">
        <v>5.9</v>
      </c>
      <c r="L1897">
        <v>8.9600000000000009</v>
      </c>
    </row>
    <row r="1898" spans="1:12" x14ac:dyDescent="0.2">
      <c r="A1898" s="28" t="s">
        <v>8</v>
      </c>
      <c r="B1898" t="s">
        <v>30</v>
      </c>
      <c r="C1898" s="30" t="s">
        <v>56</v>
      </c>
      <c r="D1898" s="28">
        <f>YEAR(TableauFlitrage[[#This Row],[Date_d_adjudication]])</f>
        <v>2024</v>
      </c>
      <c r="E1898" s="28">
        <f t="shared" si="32"/>
        <v>1</v>
      </c>
      <c r="F1898" s="15">
        <v>45321</v>
      </c>
      <c r="G1898" s="28">
        <v>91.0244</v>
      </c>
      <c r="H1898" s="15">
        <v>46784</v>
      </c>
      <c r="I1898">
        <v>16.399999999999999</v>
      </c>
      <c r="J1898">
        <v>25000</v>
      </c>
      <c r="K1898" s="28">
        <v>6.2</v>
      </c>
      <c r="L1898">
        <v>8.92</v>
      </c>
    </row>
    <row r="1899" spans="1:12" x14ac:dyDescent="0.2">
      <c r="A1899" s="28" t="s">
        <v>9</v>
      </c>
      <c r="B1899" s="2" t="s">
        <v>29</v>
      </c>
      <c r="C1899" s="30">
        <v>0.5</v>
      </c>
      <c r="D1899" s="28">
        <f>YEAR(TableauFlitrage[[#This Row],[Date_d_adjudication]])</f>
        <v>2024</v>
      </c>
      <c r="E1899" s="28">
        <f t="shared" si="32"/>
        <v>1</v>
      </c>
      <c r="F1899" s="15">
        <v>45322</v>
      </c>
      <c r="G1899" s="28">
        <v>96.743898000000002</v>
      </c>
      <c r="H1899" s="15">
        <v>45506</v>
      </c>
      <c r="I1899">
        <v>120.9</v>
      </c>
      <c r="J1899">
        <v>11000</v>
      </c>
      <c r="K1899" s="28">
        <v>6.6574</v>
      </c>
    </row>
    <row r="1900" spans="1:12" x14ac:dyDescent="0.2">
      <c r="A1900" s="28" t="s">
        <v>11</v>
      </c>
      <c r="B1900" s="2" t="s">
        <v>29</v>
      </c>
      <c r="C1900" s="30">
        <v>0.5</v>
      </c>
      <c r="D1900" s="28">
        <f>YEAR(TableauFlitrage[[#This Row],[Date_d_adjudication]])</f>
        <v>2024</v>
      </c>
      <c r="E1900" s="28">
        <f t="shared" si="32"/>
        <v>1</v>
      </c>
      <c r="F1900" s="15">
        <v>45322</v>
      </c>
      <c r="G1900" s="28">
        <v>96.588932999999997</v>
      </c>
      <c r="H1900" s="15">
        <v>45506</v>
      </c>
      <c r="I1900">
        <v>97.09</v>
      </c>
      <c r="J1900">
        <v>10000</v>
      </c>
      <c r="K1900" s="28">
        <v>6.9854000000000003</v>
      </c>
    </row>
    <row r="1901" spans="1:12" x14ac:dyDescent="0.2">
      <c r="A1901" s="28" t="s">
        <v>7</v>
      </c>
      <c r="B1901" s="2" t="s">
        <v>29</v>
      </c>
      <c r="C1901" s="30">
        <v>0.5</v>
      </c>
      <c r="D1901" s="28">
        <f>YEAR(TableauFlitrage[[#This Row],[Date_d_adjudication]])</f>
        <v>2024</v>
      </c>
      <c r="E1901" s="28">
        <f t="shared" si="32"/>
        <v>2</v>
      </c>
      <c r="F1901" s="15">
        <v>45327</v>
      </c>
      <c r="G1901" s="28">
        <v>96.802863000000002</v>
      </c>
      <c r="H1901" s="15">
        <v>45511</v>
      </c>
      <c r="I1901">
        <v>40.2667</v>
      </c>
      <c r="J1901">
        <v>15000</v>
      </c>
      <c r="K1901" s="28">
        <v>6.5328999999999997</v>
      </c>
    </row>
    <row r="1902" spans="1:12" x14ac:dyDescent="0.2">
      <c r="A1902" s="28" t="s">
        <v>8</v>
      </c>
      <c r="B1902" s="2" t="s">
        <v>29</v>
      </c>
      <c r="C1902" s="30">
        <v>0.25</v>
      </c>
      <c r="D1902" s="28">
        <f>YEAR(TableauFlitrage[[#This Row],[Date_d_adjudication]])</f>
        <v>2024</v>
      </c>
      <c r="E1902" s="28">
        <f t="shared" si="32"/>
        <v>2</v>
      </c>
      <c r="F1902" s="15">
        <v>45328</v>
      </c>
      <c r="G1902" s="28">
        <v>98.434244000000007</v>
      </c>
      <c r="H1902" s="15">
        <v>45421</v>
      </c>
      <c r="I1902">
        <v>122.64</v>
      </c>
      <c r="J1902">
        <v>15000</v>
      </c>
      <c r="K1902" s="28">
        <v>6.2927</v>
      </c>
    </row>
    <row r="1903" spans="1:12" x14ac:dyDescent="0.2">
      <c r="A1903" s="28" t="s">
        <v>8</v>
      </c>
      <c r="B1903" s="2" t="s">
        <v>29</v>
      </c>
      <c r="C1903" s="30">
        <v>0.5</v>
      </c>
      <c r="D1903" s="28">
        <f>YEAR(TableauFlitrage[[#This Row],[Date_d_adjudication]])</f>
        <v>2024</v>
      </c>
      <c r="E1903" s="28">
        <f t="shared" si="32"/>
        <v>2</v>
      </c>
      <c r="F1903" s="15">
        <v>45328</v>
      </c>
      <c r="G1903" s="28">
        <v>96.736666</v>
      </c>
      <c r="H1903" s="15">
        <v>45512</v>
      </c>
      <c r="I1903">
        <v>97.105000000000004</v>
      </c>
      <c r="J1903">
        <v>20000</v>
      </c>
      <c r="K1903" s="28">
        <v>6.6726999999999999</v>
      </c>
    </row>
    <row r="1904" spans="1:12" x14ac:dyDescent="0.2">
      <c r="A1904" s="28" t="s">
        <v>9</v>
      </c>
      <c r="B1904" s="2" t="s">
        <v>29</v>
      </c>
      <c r="C1904" s="30">
        <v>0.5</v>
      </c>
      <c r="D1904" s="28">
        <f>YEAR(TableauFlitrage[[#This Row],[Date_d_adjudication]])</f>
        <v>2024</v>
      </c>
      <c r="E1904" s="28">
        <f t="shared" si="32"/>
        <v>2</v>
      </c>
      <c r="F1904" s="15">
        <v>45329</v>
      </c>
      <c r="G1904" s="28">
        <v>96.766810000000007</v>
      </c>
      <c r="H1904" s="15">
        <v>45513</v>
      </c>
      <c r="I1904">
        <v>105.54</v>
      </c>
      <c r="J1904">
        <v>15000</v>
      </c>
      <c r="K1904" s="28">
        <v>6.609</v>
      </c>
    </row>
    <row r="1905" spans="1:12" x14ac:dyDescent="0.2">
      <c r="A1905" s="28" t="s">
        <v>9</v>
      </c>
      <c r="B1905" s="2" t="s">
        <v>29</v>
      </c>
      <c r="C1905" s="30">
        <v>1</v>
      </c>
      <c r="D1905" s="28">
        <f>YEAR(TableauFlitrage[[#This Row],[Date_d_adjudication]])</f>
        <v>2024</v>
      </c>
      <c r="E1905" s="28">
        <f t="shared" si="32"/>
        <v>2</v>
      </c>
      <c r="F1905" s="15">
        <v>45329</v>
      </c>
      <c r="G1905" s="28">
        <v>93.354754999999997</v>
      </c>
      <c r="H1905" s="15">
        <v>45695</v>
      </c>
      <c r="I1905">
        <v>110.65</v>
      </c>
      <c r="J1905">
        <v>20000</v>
      </c>
      <c r="K1905" s="28">
        <v>7.04</v>
      </c>
    </row>
    <row r="1906" spans="1:12" x14ac:dyDescent="0.2">
      <c r="A1906" s="28" t="s">
        <v>9</v>
      </c>
      <c r="B1906" t="s">
        <v>30</v>
      </c>
      <c r="C1906" s="30" t="s">
        <v>54</v>
      </c>
      <c r="D1906" s="28">
        <f>YEAR(TableauFlitrage[[#This Row],[Date_d_adjudication]])</f>
        <v>2024</v>
      </c>
      <c r="E1906" s="28">
        <f t="shared" si="32"/>
        <v>2</v>
      </c>
      <c r="F1906" s="15">
        <v>45329</v>
      </c>
      <c r="G1906" s="28">
        <v>91</v>
      </c>
      <c r="H1906" s="15">
        <v>46427</v>
      </c>
      <c r="I1906">
        <v>92.333299999999994</v>
      </c>
      <c r="J1906">
        <v>30000</v>
      </c>
      <c r="K1906" s="28">
        <v>5.5</v>
      </c>
      <c r="L1906">
        <v>8.99</v>
      </c>
    </row>
    <row r="1907" spans="1:12" x14ac:dyDescent="0.2">
      <c r="A1907" s="28" t="s">
        <v>9</v>
      </c>
      <c r="B1907" t="s">
        <v>30</v>
      </c>
      <c r="C1907" s="30" t="s">
        <v>53</v>
      </c>
      <c r="D1907" s="28">
        <f>YEAR(TableauFlitrage[[#This Row],[Date_d_adjudication]])</f>
        <v>2024</v>
      </c>
      <c r="E1907" s="28">
        <f t="shared" si="32"/>
        <v>2</v>
      </c>
      <c r="F1907" s="15">
        <v>45329</v>
      </c>
      <c r="G1907" s="28">
        <v>94.125699999999995</v>
      </c>
      <c r="H1907" s="15">
        <v>45943</v>
      </c>
      <c r="I1907">
        <v>100.6452</v>
      </c>
      <c r="J1907">
        <v>30000</v>
      </c>
      <c r="K1907" s="28">
        <v>5</v>
      </c>
      <c r="L1907">
        <v>8.25</v>
      </c>
    </row>
    <row r="1908" spans="1:12" x14ac:dyDescent="0.2">
      <c r="A1908" s="28" t="s">
        <v>9</v>
      </c>
      <c r="B1908" t="s">
        <v>30</v>
      </c>
      <c r="C1908" s="30" t="s">
        <v>54</v>
      </c>
      <c r="D1908" s="28">
        <f>YEAR(TableauFlitrage[[#This Row],[Date_d_adjudication]])</f>
        <v>2024</v>
      </c>
      <c r="E1908" s="28">
        <f t="shared" si="32"/>
        <v>2</v>
      </c>
      <c r="F1908" s="15">
        <v>45329</v>
      </c>
      <c r="G1908" s="28">
        <v>93.419399999999996</v>
      </c>
      <c r="H1908" s="15">
        <v>46266</v>
      </c>
      <c r="I1908">
        <v>97.76</v>
      </c>
      <c r="J1908">
        <v>25000</v>
      </c>
      <c r="K1908" s="28">
        <v>5.5</v>
      </c>
      <c r="L1908">
        <v>8.01</v>
      </c>
    </row>
    <row r="1909" spans="1:12" x14ac:dyDescent="0.2">
      <c r="A1909" s="28" t="s">
        <v>9</v>
      </c>
      <c r="B1909" t="s">
        <v>30</v>
      </c>
      <c r="C1909" s="30" t="s">
        <v>56</v>
      </c>
      <c r="D1909" s="28">
        <f>YEAR(TableauFlitrage[[#This Row],[Date_d_adjudication]])</f>
        <v>2024</v>
      </c>
      <c r="E1909" s="28">
        <f t="shared" si="32"/>
        <v>2</v>
      </c>
      <c r="F1909" s="15">
        <v>45329</v>
      </c>
      <c r="G1909" s="28">
        <v>93.793700000000001</v>
      </c>
      <c r="H1909" s="15">
        <v>46281</v>
      </c>
      <c r="I1909">
        <v>120.55</v>
      </c>
      <c r="J1909">
        <v>20000</v>
      </c>
      <c r="K1909" s="28">
        <v>5.75</v>
      </c>
      <c r="L1909">
        <v>8.1199999999999992</v>
      </c>
    </row>
    <row r="1910" spans="1:12" x14ac:dyDescent="0.2">
      <c r="A1910" s="28" t="s">
        <v>9</v>
      </c>
      <c r="B1910" t="s">
        <v>30</v>
      </c>
      <c r="C1910" s="30" t="s">
        <v>56</v>
      </c>
      <c r="D1910" s="28">
        <f>YEAR(TableauFlitrage[[#This Row],[Date_d_adjudication]])</f>
        <v>2024</v>
      </c>
      <c r="E1910" s="28">
        <f t="shared" si="32"/>
        <v>2</v>
      </c>
      <c r="F1910" s="15">
        <v>45329</v>
      </c>
      <c r="G1910" s="28">
        <v>91.696399999999997</v>
      </c>
      <c r="H1910" s="15">
        <v>46722</v>
      </c>
      <c r="I1910">
        <v>100.5056</v>
      </c>
      <c r="J1910">
        <v>20000</v>
      </c>
      <c r="K1910" s="28">
        <v>6.25</v>
      </c>
      <c r="L1910">
        <v>8.76</v>
      </c>
    </row>
    <row r="1911" spans="1:12" x14ac:dyDescent="0.2">
      <c r="A1911" s="28" t="s">
        <v>9</v>
      </c>
      <c r="B1911" t="s">
        <v>30</v>
      </c>
      <c r="C1911" s="30" t="s">
        <v>55</v>
      </c>
      <c r="D1911" s="28">
        <f>YEAR(TableauFlitrage[[#This Row],[Date_d_adjudication]])</f>
        <v>2024</v>
      </c>
      <c r="E1911" s="28">
        <f t="shared" si="32"/>
        <v>2</v>
      </c>
      <c r="F1911" s="15">
        <v>45329</v>
      </c>
      <c r="G1911" s="28">
        <v>96.684700000000007</v>
      </c>
      <c r="H1911" s="15">
        <v>46850</v>
      </c>
      <c r="I1911">
        <v>100.172</v>
      </c>
      <c r="J1911">
        <v>20000</v>
      </c>
      <c r="K1911" s="28">
        <v>6.75</v>
      </c>
      <c r="L1911">
        <v>7.73</v>
      </c>
    </row>
    <row r="1912" spans="1:12" x14ac:dyDescent="0.2">
      <c r="A1912" s="28" t="s">
        <v>9</v>
      </c>
      <c r="B1912" t="s">
        <v>30</v>
      </c>
      <c r="C1912" s="30" t="s">
        <v>58</v>
      </c>
      <c r="D1912" s="28">
        <f>YEAR(TableauFlitrage[[#This Row],[Date_d_adjudication]])</f>
        <v>2024</v>
      </c>
      <c r="E1912" s="28">
        <f t="shared" si="32"/>
        <v>2</v>
      </c>
      <c r="F1912" s="15">
        <v>45329</v>
      </c>
      <c r="G1912" s="28">
        <v>95.264700000000005</v>
      </c>
      <c r="H1912" s="15">
        <v>46943</v>
      </c>
      <c r="I1912">
        <v>89.938000000000002</v>
      </c>
      <c r="J1912">
        <v>20000</v>
      </c>
      <c r="K1912" s="28">
        <v>7.25</v>
      </c>
      <c r="L1912">
        <v>8.68</v>
      </c>
    </row>
    <row r="1913" spans="1:12" x14ac:dyDescent="0.2">
      <c r="A1913" s="28" t="s">
        <v>9</v>
      </c>
      <c r="B1913" t="s">
        <v>30</v>
      </c>
      <c r="C1913" s="30" t="s">
        <v>54</v>
      </c>
      <c r="D1913" s="28">
        <f>YEAR(TableauFlitrage[[#This Row],[Date_d_adjudication]])</f>
        <v>2024</v>
      </c>
      <c r="E1913" s="28">
        <f t="shared" si="32"/>
        <v>2</v>
      </c>
      <c r="F1913" s="15">
        <v>45329</v>
      </c>
      <c r="G1913" s="28">
        <v>100</v>
      </c>
      <c r="H1913" s="15">
        <v>45370</v>
      </c>
      <c r="J1913">
        <v>15000</v>
      </c>
      <c r="K1913" s="28">
        <v>5.5</v>
      </c>
    </row>
    <row r="1914" spans="1:12" x14ac:dyDescent="0.2">
      <c r="A1914" s="28" t="s">
        <v>9</v>
      </c>
      <c r="B1914" t="s">
        <v>30</v>
      </c>
      <c r="C1914" s="30" t="s">
        <v>54</v>
      </c>
      <c r="D1914" s="28">
        <f>YEAR(TableauFlitrage[[#This Row],[Date_d_adjudication]])</f>
        <v>2024</v>
      </c>
      <c r="E1914" s="28">
        <f t="shared" si="32"/>
        <v>2</v>
      </c>
      <c r="F1914" s="15">
        <v>45329</v>
      </c>
      <c r="G1914" s="28">
        <v>100</v>
      </c>
      <c r="H1914" s="15">
        <v>45412</v>
      </c>
      <c r="J1914">
        <v>20000</v>
      </c>
      <c r="K1914" s="28">
        <v>6.5</v>
      </c>
    </row>
    <row r="1915" spans="1:12" x14ac:dyDescent="0.2">
      <c r="A1915" s="28" t="s">
        <v>9</v>
      </c>
      <c r="B1915" t="s">
        <v>30</v>
      </c>
      <c r="C1915" s="30" t="s">
        <v>54</v>
      </c>
      <c r="D1915" s="28">
        <f>YEAR(TableauFlitrage[[#This Row],[Date_d_adjudication]])</f>
        <v>2024</v>
      </c>
      <c r="E1915" s="28">
        <f t="shared" si="32"/>
        <v>2</v>
      </c>
      <c r="F1915" s="15">
        <v>45329</v>
      </c>
      <c r="G1915" s="28">
        <v>100</v>
      </c>
      <c r="H1915" s="15">
        <v>45468</v>
      </c>
      <c r="J1915">
        <v>25000</v>
      </c>
      <c r="K1915" s="28">
        <v>5.25</v>
      </c>
    </row>
    <row r="1916" spans="1:12" x14ac:dyDescent="0.2">
      <c r="A1916" s="28" t="s">
        <v>9</v>
      </c>
      <c r="B1916" t="s">
        <v>30</v>
      </c>
      <c r="C1916" s="30" t="s">
        <v>54</v>
      </c>
      <c r="D1916" s="28">
        <f>YEAR(TableauFlitrage[[#This Row],[Date_d_adjudication]])</f>
        <v>2024</v>
      </c>
      <c r="E1916" s="28">
        <f t="shared" si="32"/>
        <v>2</v>
      </c>
      <c r="F1916" s="15">
        <v>45329</v>
      </c>
      <c r="G1916" s="28">
        <v>100</v>
      </c>
      <c r="H1916" s="15">
        <v>45510</v>
      </c>
      <c r="J1916">
        <v>20000</v>
      </c>
      <c r="K1916" s="28">
        <v>5.5</v>
      </c>
    </row>
    <row r="1917" spans="1:12" x14ac:dyDescent="0.2">
      <c r="A1917" s="28" t="s">
        <v>9</v>
      </c>
      <c r="B1917" t="s">
        <v>30</v>
      </c>
      <c r="C1917" s="30" t="s">
        <v>54</v>
      </c>
      <c r="D1917" s="28">
        <f>YEAR(TableauFlitrage[[#This Row],[Date_d_adjudication]])</f>
        <v>2024</v>
      </c>
      <c r="E1917" s="28">
        <f t="shared" si="32"/>
        <v>2</v>
      </c>
      <c r="F1917" s="15">
        <v>45329</v>
      </c>
      <c r="G1917" s="28">
        <v>102.1803</v>
      </c>
      <c r="H1917" s="15">
        <v>45545</v>
      </c>
      <c r="I1917">
        <v>94.745000000000005</v>
      </c>
      <c r="J1917">
        <v>20000</v>
      </c>
      <c r="K1917" s="28">
        <v>5.25</v>
      </c>
      <c r="L1917">
        <v>3.02</v>
      </c>
    </row>
    <row r="1918" spans="1:12" x14ac:dyDescent="0.2">
      <c r="A1918" s="28" t="s">
        <v>9</v>
      </c>
      <c r="B1918" t="s">
        <v>30</v>
      </c>
      <c r="C1918" s="30" t="s">
        <v>54</v>
      </c>
      <c r="D1918" s="28">
        <f>YEAR(TableauFlitrage[[#This Row],[Date_d_adjudication]])</f>
        <v>2024</v>
      </c>
      <c r="E1918" s="28">
        <f t="shared" si="32"/>
        <v>2</v>
      </c>
      <c r="F1918" s="15">
        <v>45329</v>
      </c>
      <c r="G1918" s="28">
        <v>101.87909999999999</v>
      </c>
      <c r="H1918" s="15">
        <v>45566</v>
      </c>
      <c r="I1918">
        <v>96.378699999999995</v>
      </c>
      <c r="J1918">
        <v>15000</v>
      </c>
      <c r="K1918" s="28">
        <v>5.25</v>
      </c>
      <c r="L1918">
        <v>3.32</v>
      </c>
    </row>
    <row r="1919" spans="1:12" x14ac:dyDescent="0.2">
      <c r="A1919" s="28" t="s">
        <v>9</v>
      </c>
      <c r="B1919" t="s">
        <v>30</v>
      </c>
      <c r="C1919" s="30" t="s">
        <v>54</v>
      </c>
      <c r="D1919" s="28">
        <f>YEAR(TableauFlitrage[[#This Row],[Date_d_adjudication]])</f>
        <v>2024</v>
      </c>
      <c r="E1919" s="28">
        <f t="shared" si="32"/>
        <v>2</v>
      </c>
      <c r="F1919" s="15">
        <v>45329</v>
      </c>
      <c r="G1919" s="28">
        <v>100.875</v>
      </c>
      <c r="H1919" s="15">
        <v>45636</v>
      </c>
      <c r="I1919">
        <v>58.2333</v>
      </c>
      <c r="J1919">
        <v>15000</v>
      </c>
      <c r="K1919" s="28">
        <v>5.25</v>
      </c>
      <c r="L1919">
        <v>4.3499999999999996</v>
      </c>
    </row>
    <row r="1920" spans="1:12" x14ac:dyDescent="0.2">
      <c r="A1920" s="28" t="s">
        <v>9</v>
      </c>
      <c r="B1920" t="s">
        <v>30</v>
      </c>
      <c r="C1920" s="30" t="s">
        <v>56</v>
      </c>
      <c r="D1920" s="28">
        <f>YEAR(TableauFlitrage[[#This Row],[Date_d_adjudication]])</f>
        <v>2024</v>
      </c>
      <c r="E1920" s="28">
        <f t="shared" si="32"/>
        <v>2</v>
      </c>
      <c r="F1920" s="15">
        <v>45329</v>
      </c>
      <c r="G1920" s="28">
        <v>100</v>
      </c>
      <c r="H1920" s="15">
        <v>45371</v>
      </c>
      <c r="J1920">
        <v>20000</v>
      </c>
      <c r="K1920" s="28">
        <v>5.25</v>
      </c>
    </row>
    <row r="1921" spans="1:12" x14ac:dyDescent="0.2">
      <c r="A1921" s="28" t="s">
        <v>19</v>
      </c>
      <c r="B1921" s="2" t="s">
        <v>29</v>
      </c>
      <c r="C1921" s="30">
        <v>0.5</v>
      </c>
      <c r="D1921" s="28">
        <f>YEAR(TableauFlitrage[[#This Row],[Date_d_adjudication]])</f>
        <v>2024</v>
      </c>
      <c r="E1921" s="28">
        <f t="shared" si="32"/>
        <v>2</v>
      </c>
      <c r="F1921" s="15">
        <v>45334</v>
      </c>
      <c r="G1921" s="28">
        <v>96.904902000000007</v>
      </c>
      <c r="H1921" s="15">
        <v>45504</v>
      </c>
      <c r="I1921">
        <v>68</v>
      </c>
      <c r="J1921">
        <v>5000</v>
      </c>
      <c r="K1921" s="28">
        <v>6.8444200000000004</v>
      </c>
    </row>
    <row r="1922" spans="1:12" x14ac:dyDescent="0.2">
      <c r="A1922" s="28" t="s">
        <v>14</v>
      </c>
      <c r="B1922" t="s">
        <v>30</v>
      </c>
      <c r="C1922" s="30" t="s">
        <v>56</v>
      </c>
      <c r="D1922" s="28">
        <f>YEAR(TableauFlitrage[[#This Row],[Date_d_adjudication]])</f>
        <v>2024</v>
      </c>
      <c r="E1922" s="28">
        <f t="shared" si="32"/>
        <v>2</v>
      </c>
      <c r="F1922" s="15">
        <v>45334</v>
      </c>
      <c r="G1922" s="28">
        <v>89</v>
      </c>
      <c r="H1922" s="15">
        <v>46797</v>
      </c>
      <c r="I1922">
        <v>26.666699999999999</v>
      </c>
      <c r="J1922">
        <v>7500</v>
      </c>
      <c r="K1922" s="28">
        <v>6.5</v>
      </c>
      <c r="L1922">
        <v>9.9</v>
      </c>
    </row>
    <row r="1923" spans="1:12" x14ac:dyDescent="0.2">
      <c r="A1923" s="28" t="s">
        <v>8</v>
      </c>
      <c r="B1923" s="2" t="s">
        <v>29</v>
      </c>
      <c r="C1923" s="30">
        <v>0.25</v>
      </c>
      <c r="D1923" s="28">
        <f>YEAR(TableauFlitrage[[#This Row],[Date_d_adjudication]])</f>
        <v>2024</v>
      </c>
      <c r="E1923" s="28">
        <f t="shared" si="32"/>
        <v>2</v>
      </c>
      <c r="F1923" s="15">
        <v>45335</v>
      </c>
      <c r="G1923" s="28">
        <v>98.420452999999995</v>
      </c>
      <c r="H1923" s="15">
        <v>45428</v>
      </c>
      <c r="I1923">
        <v>25.453299999999999</v>
      </c>
      <c r="J1923">
        <v>15000</v>
      </c>
      <c r="K1923" s="28">
        <v>6.3490000000000002</v>
      </c>
    </row>
    <row r="1924" spans="1:12" x14ac:dyDescent="0.2">
      <c r="A1924" s="28" t="s">
        <v>8</v>
      </c>
      <c r="B1924" s="2" t="s">
        <v>29</v>
      </c>
      <c r="C1924" s="30">
        <v>0.5</v>
      </c>
      <c r="D1924" s="28">
        <f>YEAR(TableauFlitrage[[#This Row],[Date_d_adjudication]])</f>
        <v>2024</v>
      </c>
      <c r="E1924" s="28">
        <f t="shared" si="32"/>
        <v>2</v>
      </c>
      <c r="F1924" s="15">
        <v>45335</v>
      </c>
      <c r="G1924" s="28">
        <v>96.697997000000001</v>
      </c>
      <c r="H1924" s="15">
        <v>45519</v>
      </c>
      <c r="I1924">
        <v>55.244999999999997</v>
      </c>
      <c r="J1924">
        <v>20000</v>
      </c>
      <c r="K1924" s="28">
        <v>6.7545000000000002</v>
      </c>
    </row>
    <row r="1925" spans="1:12" x14ac:dyDescent="0.2">
      <c r="A1925" s="28" t="s">
        <v>8</v>
      </c>
      <c r="B1925" s="2" t="s">
        <v>29</v>
      </c>
      <c r="C1925" s="30">
        <v>1</v>
      </c>
      <c r="D1925" s="28">
        <f>YEAR(TableauFlitrage[[#This Row],[Date_d_adjudication]])</f>
        <v>2024</v>
      </c>
      <c r="E1925" s="28">
        <f t="shared" si="32"/>
        <v>2</v>
      </c>
      <c r="F1925" s="15">
        <v>45335</v>
      </c>
      <c r="G1925" s="28">
        <v>93.482252000000003</v>
      </c>
      <c r="H1925" s="15">
        <v>45701</v>
      </c>
      <c r="I1925">
        <v>35.89</v>
      </c>
      <c r="J1925">
        <v>10000</v>
      </c>
      <c r="K1925" s="28">
        <v>6.8956</v>
      </c>
    </row>
    <row r="1926" spans="1:12" x14ac:dyDescent="0.2">
      <c r="A1926" s="28" t="s">
        <v>8</v>
      </c>
      <c r="B1926" t="s">
        <v>30</v>
      </c>
      <c r="C1926" s="30" t="s">
        <v>54</v>
      </c>
      <c r="D1926" s="28">
        <f>YEAR(TableauFlitrage[[#This Row],[Date_d_adjudication]])</f>
        <v>2024</v>
      </c>
      <c r="E1926" s="28">
        <f t="shared" si="32"/>
        <v>2</v>
      </c>
      <c r="F1926" s="15">
        <v>45335</v>
      </c>
      <c r="G1926" s="28">
        <v>91.228200000000001</v>
      </c>
      <c r="H1926" s="15">
        <v>46419</v>
      </c>
      <c r="I1926">
        <v>60.15</v>
      </c>
      <c r="J1926">
        <v>10000</v>
      </c>
      <c r="K1926" s="28">
        <v>5.9</v>
      </c>
      <c r="L1926">
        <v>9.32</v>
      </c>
    </row>
    <row r="1927" spans="1:12" x14ac:dyDescent="0.2">
      <c r="A1927" s="28" t="s">
        <v>9</v>
      </c>
      <c r="B1927" s="2" t="s">
        <v>29</v>
      </c>
      <c r="C1927" s="30">
        <v>0.25</v>
      </c>
      <c r="D1927" s="28">
        <f>YEAR(TableauFlitrage[[#This Row],[Date_d_adjudication]])</f>
        <v>2024</v>
      </c>
      <c r="E1927" s="28">
        <f t="shared" si="32"/>
        <v>2</v>
      </c>
      <c r="F1927" s="15">
        <v>45336</v>
      </c>
      <c r="G1927" s="28">
        <v>98.441472000000005</v>
      </c>
      <c r="H1927" s="15">
        <v>45429</v>
      </c>
      <c r="I1927">
        <v>110.6842</v>
      </c>
      <c r="J1927">
        <v>9500</v>
      </c>
      <c r="K1927" s="28">
        <v>6.2632000000000003</v>
      </c>
    </row>
    <row r="1928" spans="1:12" x14ac:dyDescent="0.2">
      <c r="A1928" s="28" t="s">
        <v>7</v>
      </c>
      <c r="B1928" s="2" t="s">
        <v>29</v>
      </c>
      <c r="C1928" s="30">
        <v>0.5</v>
      </c>
      <c r="D1928" s="28">
        <f>YEAR(TableauFlitrage[[#This Row],[Date_d_adjudication]])</f>
        <v>2024</v>
      </c>
      <c r="E1928" s="28">
        <f t="shared" si="32"/>
        <v>2</v>
      </c>
      <c r="F1928" s="15">
        <v>45341</v>
      </c>
      <c r="G1928" s="28">
        <v>96.789972000000006</v>
      </c>
      <c r="H1928" s="15">
        <v>45525</v>
      </c>
      <c r="I1928">
        <v>180.3133</v>
      </c>
      <c r="J1928">
        <v>15000</v>
      </c>
      <c r="K1928" s="28">
        <v>6.5601000000000003</v>
      </c>
    </row>
    <row r="1929" spans="1:12" x14ac:dyDescent="0.2">
      <c r="A1929" s="28" t="s">
        <v>14</v>
      </c>
      <c r="B1929" t="s">
        <v>30</v>
      </c>
      <c r="C1929" s="30" t="s">
        <v>53</v>
      </c>
      <c r="D1929" s="28">
        <f>YEAR(TableauFlitrage[[#This Row],[Date_d_adjudication]])</f>
        <v>2024</v>
      </c>
      <c r="E1929" s="28">
        <f t="shared" si="32"/>
        <v>2</v>
      </c>
      <c r="F1929" s="15">
        <v>45341</v>
      </c>
      <c r="G1929" s="28">
        <v>90.006500000000003</v>
      </c>
      <c r="H1929" s="15">
        <v>46074</v>
      </c>
      <c r="I1929">
        <v>67.3416</v>
      </c>
      <c r="J1929">
        <v>10000</v>
      </c>
      <c r="K1929" s="28">
        <v>6</v>
      </c>
      <c r="L1929">
        <v>11.75</v>
      </c>
    </row>
    <row r="1930" spans="1:12" x14ac:dyDescent="0.2">
      <c r="A1930" s="28" t="s">
        <v>8</v>
      </c>
      <c r="B1930" s="2" t="s">
        <v>29</v>
      </c>
      <c r="C1930" s="30">
        <v>0.25</v>
      </c>
      <c r="D1930" s="28">
        <f>YEAR(TableauFlitrage[[#This Row],[Date_d_adjudication]])</f>
        <v>2024</v>
      </c>
      <c r="E1930" s="28">
        <f t="shared" si="32"/>
        <v>2</v>
      </c>
      <c r="F1930" s="15">
        <v>45342</v>
      </c>
      <c r="G1930" s="28">
        <v>98.410295000000005</v>
      </c>
      <c r="H1930" s="15">
        <v>45435</v>
      </c>
      <c r="I1930">
        <v>69.733329999999995</v>
      </c>
      <c r="J1930">
        <v>12000</v>
      </c>
      <c r="K1930" s="28">
        <v>6.3905000000000003</v>
      </c>
    </row>
    <row r="1931" spans="1:12" x14ac:dyDescent="0.2">
      <c r="A1931" s="28" t="s">
        <v>8</v>
      </c>
      <c r="B1931" s="2" t="s">
        <v>29</v>
      </c>
      <c r="C1931" s="30">
        <v>0.5</v>
      </c>
      <c r="D1931" s="28">
        <f>YEAR(TableauFlitrage[[#This Row],[Date_d_adjudication]])</f>
        <v>2024</v>
      </c>
      <c r="E1931" s="28">
        <f t="shared" si="32"/>
        <v>2</v>
      </c>
      <c r="F1931" s="15">
        <v>45342</v>
      </c>
      <c r="G1931" s="28">
        <v>96.683126999999999</v>
      </c>
      <c r="H1931" s="15">
        <v>45526</v>
      </c>
      <c r="I1931">
        <v>88.646699999999996</v>
      </c>
      <c r="J1931">
        <v>15000</v>
      </c>
      <c r="K1931" s="28">
        <v>6.7858999999999998</v>
      </c>
    </row>
    <row r="1932" spans="1:12" x14ac:dyDescent="0.2">
      <c r="A1932" s="28" t="s">
        <v>8</v>
      </c>
      <c r="B1932" s="2" t="s">
        <v>29</v>
      </c>
      <c r="C1932" s="30">
        <v>1</v>
      </c>
      <c r="D1932" s="28">
        <f>YEAR(TableauFlitrage[[#This Row],[Date_d_adjudication]])</f>
        <v>2024</v>
      </c>
      <c r="E1932" s="28">
        <f t="shared" si="32"/>
        <v>2</v>
      </c>
      <c r="F1932" s="15">
        <v>45342</v>
      </c>
      <c r="G1932" s="28">
        <v>93.099272999999997</v>
      </c>
      <c r="H1932" s="15">
        <v>45708</v>
      </c>
      <c r="I1932">
        <v>20.62</v>
      </c>
      <c r="J1932">
        <v>15000</v>
      </c>
      <c r="K1932" s="28">
        <v>7.3308</v>
      </c>
    </row>
    <row r="1933" spans="1:12" x14ac:dyDescent="0.2">
      <c r="A1933" s="28" t="s">
        <v>10</v>
      </c>
      <c r="B1933" s="2" t="s">
        <v>29</v>
      </c>
      <c r="C1933" s="30">
        <v>0.5</v>
      </c>
      <c r="D1933" s="28">
        <f>YEAR(TableauFlitrage[[#This Row],[Date_d_adjudication]])</f>
        <v>2024</v>
      </c>
      <c r="E1933" s="28">
        <f t="shared" si="32"/>
        <v>2</v>
      </c>
      <c r="F1933" s="15">
        <v>45342</v>
      </c>
      <c r="G1933" s="28">
        <v>96.822022000000004</v>
      </c>
      <c r="H1933" s="15">
        <v>45526</v>
      </c>
      <c r="I1933">
        <v>90.1</v>
      </c>
      <c r="J1933">
        <v>10000</v>
      </c>
      <c r="K1933" s="28">
        <v>6.4923999999999999</v>
      </c>
    </row>
    <row r="1934" spans="1:12" x14ac:dyDescent="0.2">
      <c r="A1934" s="28" t="s">
        <v>9</v>
      </c>
      <c r="B1934" s="2" t="s">
        <v>29</v>
      </c>
      <c r="C1934" s="30">
        <v>0.5</v>
      </c>
      <c r="D1934" s="28">
        <f>YEAR(TableauFlitrage[[#This Row],[Date_d_adjudication]])</f>
        <v>2024</v>
      </c>
      <c r="E1934" s="28">
        <f t="shared" si="32"/>
        <v>2</v>
      </c>
      <c r="F1934" s="15">
        <v>45343</v>
      </c>
      <c r="G1934" s="28">
        <v>96.759210999999993</v>
      </c>
      <c r="H1934" s="15">
        <v>45527</v>
      </c>
      <c r="I1934">
        <v>140.84209999999999</v>
      </c>
      <c r="J1934">
        <v>9500</v>
      </c>
      <c r="K1934" s="28">
        <v>6.45</v>
      </c>
    </row>
    <row r="1935" spans="1:12" x14ac:dyDescent="0.2">
      <c r="A1935" s="28" t="s">
        <v>11</v>
      </c>
      <c r="B1935" t="s">
        <v>30</v>
      </c>
      <c r="C1935" s="30" t="s">
        <v>55</v>
      </c>
      <c r="D1935" s="28">
        <f>YEAR(TableauFlitrage[[#This Row],[Date_d_adjudication]])</f>
        <v>2024</v>
      </c>
      <c r="E1935" s="28">
        <f t="shared" si="32"/>
        <v>2</v>
      </c>
      <c r="F1935" s="15">
        <v>45343</v>
      </c>
      <c r="G1935" s="28">
        <v>96.853499999999997</v>
      </c>
      <c r="H1935" s="15">
        <v>47172</v>
      </c>
      <c r="I1935">
        <v>100</v>
      </c>
      <c r="J1935">
        <v>26000</v>
      </c>
      <c r="K1935" s="28">
        <v>6.5</v>
      </c>
      <c r="L1935">
        <v>7.26</v>
      </c>
    </row>
    <row r="1936" spans="1:12" x14ac:dyDescent="0.2">
      <c r="A1936" s="28" t="s">
        <v>7</v>
      </c>
      <c r="B1936" s="2" t="s">
        <v>29</v>
      </c>
      <c r="C1936" s="30">
        <v>0.5</v>
      </c>
      <c r="D1936" s="28">
        <f>YEAR(TableauFlitrage[[#This Row],[Date_d_adjudication]])</f>
        <v>2024</v>
      </c>
      <c r="E1936" s="28">
        <f t="shared" si="32"/>
        <v>2</v>
      </c>
      <c r="F1936" s="15">
        <v>45348</v>
      </c>
      <c r="G1936" s="28">
        <v>96.770321999999993</v>
      </c>
      <c r="H1936" s="15">
        <v>45532</v>
      </c>
      <c r="I1936">
        <v>165.39500000000001</v>
      </c>
      <c r="J1936">
        <v>20000</v>
      </c>
      <c r="K1936" s="28">
        <v>6.6016000000000004</v>
      </c>
    </row>
    <row r="1937" spans="1:12" x14ac:dyDescent="0.2">
      <c r="A1937" s="28" t="s">
        <v>7</v>
      </c>
      <c r="B1937" t="s">
        <v>30</v>
      </c>
      <c r="C1937" s="30" t="s">
        <v>53</v>
      </c>
      <c r="D1937" s="28">
        <f>YEAR(TableauFlitrage[[#This Row],[Date_d_adjudication]])</f>
        <v>2024</v>
      </c>
      <c r="E1937" s="28">
        <f t="shared" si="32"/>
        <v>2</v>
      </c>
      <c r="F1937" s="15">
        <v>45348</v>
      </c>
      <c r="G1937" s="28">
        <v>96.266300000000001</v>
      </c>
      <c r="H1937" s="15">
        <v>46081</v>
      </c>
      <c r="I1937">
        <v>54.084699999999998</v>
      </c>
      <c r="J1937">
        <v>30000</v>
      </c>
      <c r="K1937" s="28">
        <v>6</v>
      </c>
      <c r="L1937">
        <v>8.06</v>
      </c>
    </row>
    <row r="1938" spans="1:12" x14ac:dyDescent="0.2">
      <c r="A1938" s="28" t="s">
        <v>8</v>
      </c>
      <c r="B1938" s="2" t="s">
        <v>29</v>
      </c>
      <c r="C1938" s="30">
        <v>0.5</v>
      </c>
      <c r="D1938" s="28">
        <f>YEAR(TableauFlitrage[[#This Row],[Date_d_adjudication]])</f>
        <v>2024</v>
      </c>
      <c r="E1938" s="28">
        <f t="shared" si="32"/>
        <v>2</v>
      </c>
      <c r="F1938" s="15">
        <v>45349</v>
      </c>
      <c r="G1938" s="28">
        <v>96.661124000000001</v>
      </c>
      <c r="H1938" s="15">
        <v>45533</v>
      </c>
      <c r="I1938">
        <v>86.69</v>
      </c>
      <c r="J1938">
        <v>20000</v>
      </c>
      <c r="K1938" s="28">
        <v>6.8324999999999996</v>
      </c>
    </row>
    <row r="1939" spans="1:12" x14ac:dyDescent="0.2">
      <c r="A1939" s="28" t="s">
        <v>10</v>
      </c>
      <c r="B1939" s="2" t="s">
        <v>29</v>
      </c>
      <c r="C1939" s="30">
        <v>1</v>
      </c>
      <c r="D1939" s="28">
        <f>YEAR(TableauFlitrage[[#This Row],[Date_d_adjudication]])</f>
        <v>2024</v>
      </c>
      <c r="E1939" s="28">
        <f t="shared" si="32"/>
        <v>2</v>
      </c>
      <c r="F1939" s="15">
        <v>45349</v>
      </c>
      <c r="G1939" s="28">
        <v>93.528889000000007</v>
      </c>
      <c r="H1939" s="15">
        <v>45715</v>
      </c>
      <c r="I1939">
        <v>112.35</v>
      </c>
      <c r="J1939">
        <v>10000</v>
      </c>
      <c r="K1939" s="28">
        <v>6.8428000000000004</v>
      </c>
    </row>
    <row r="1940" spans="1:12" x14ac:dyDescent="0.2">
      <c r="A1940" s="28" t="s">
        <v>8</v>
      </c>
      <c r="B1940" t="s">
        <v>30</v>
      </c>
      <c r="C1940" s="30" t="s">
        <v>53</v>
      </c>
      <c r="D1940" s="28">
        <f>YEAR(TableauFlitrage[[#This Row],[Date_d_adjudication]])</f>
        <v>2024</v>
      </c>
      <c r="E1940" s="28">
        <f t="shared" si="32"/>
        <v>2</v>
      </c>
      <c r="F1940" s="15">
        <v>45349</v>
      </c>
      <c r="G1940" s="28">
        <v>92.193799999999996</v>
      </c>
      <c r="H1940" s="15">
        <v>46082</v>
      </c>
      <c r="I1940">
        <v>74.606999999999999</v>
      </c>
      <c r="J1940">
        <v>30000</v>
      </c>
      <c r="K1940" s="28">
        <v>5.4</v>
      </c>
      <c r="L1940">
        <v>9.7899999999999991</v>
      </c>
    </row>
    <row r="1941" spans="1:12" x14ac:dyDescent="0.2">
      <c r="A1941" s="28" t="s">
        <v>8</v>
      </c>
      <c r="B1941" t="s">
        <v>30</v>
      </c>
      <c r="C1941" s="30" t="s">
        <v>54</v>
      </c>
      <c r="D1941" s="28">
        <f>YEAR(TableauFlitrage[[#This Row],[Date_d_adjudication]])</f>
        <v>2024</v>
      </c>
      <c r="E1941" s="28">
        <f t="shared" ref="E1941:E2001" si="33">MONTH(F1941)</f>
        <v>2</v>
      </c>
      <c r="F1941" s="15">
        <v>45349</v>
      </c>
      <c r="G1941" s="28">
        <v>92.128799999999998</v>
      </c>
      <c r="H1941" s="15">
        <v>46447</v>
      </c>
      <c r="I1941">
        <v>31.1</v>
      </c>
      <c r="J1941">
        <v>10000</v>
      </c>
      <c r="K1941" s="28">
        <v>5.9</v>
      </c>
      <c r="L1941">
        <v>8.9499999999999993</v>
      </c>
    </row>
    <row r="1942" spans="1:12" x14ac:dyDescent="0.2">
      <c r="A1942" s="28" t="s">
        <v>11</v>
      </c>
      <c r="B1942" t="s">
        <v>30</v>
      </c>
      <c r="C1942" s="30" t="s">
        <v>53</v>
      </c>
      <c r="D1942" s="28">
        <f>YEAR(TableauFlitrage[[#This Row],[Date_d_adjudication]])</f>
        <v>2024</v>
      </c>
      <c r="E1942" s="28">
        <f t="shared" si="33"/>
        <v>2</v>
      </c>
      <c r="F1942" s="15">
        <v>45350</v>
      </c>
      <c r="G1942" s="28">
        <v>92.7821</v>
      </c>
      <c r="H1942" s="15">
        <v>46082</v>
      </c>
      <c r="I1942">
        <v>218.5959</v>
      </c>
      <c r="J1942">
        <v>10000</v>
      </c>
      <c r="K1942" s="28">
        <v>6.5</v>
      </c>
      <c r="L1942">
        <v>10.6</v>
      </c>
    </row>
    <row r="1943" spans="1:12" x14ac:dyDescent="0.2">
      <c r="A1943" s="28" t="s">
        <v>7</v>
      </c>
      <c r="B1943" s="2" t="s">
        <v>29</v>
      </c>
      <c r="C1943" s="30">
        <v>0.5</v>
      </c>
      <c r="D1943" s="28">
        <f>YEAR(TableauFlitrage[[#This Row],[Date_d_adjudication]])</f>
        <v>2024</v>
      </c>
      <c r="E1943" s="28">
        <f t="shared" si="33"/>
        <v>3</v>
      </c>
      <c r="F1943" s="15">
        <v>45355</v>
      </c>
      <c r="G1943" s="28">
        <v>96.74991</v>
      </c>
      <c r="H1943" s="15">
        <v>45539</v>
      </c>
      <c r="I1943">
        <v>106.755</v>
      </c>
      <c r="J1943">
        <v>20000</v>
      </c>
      <c r="K1943" s="28">
        <v>6.6447000000000003</v>
      </c>
    </row>
    <row r="1944" spans="1:12" x14ac:dyDescent="0.2">
      <c r="A1944" s="28" t="s">
        <v>19</v>
      </c>
      <c r="B1944" s="2" t="s">
        <v>29</v>
      </c>
      <c r="C1944" s="30">
        <v>1</v>
      </c>
      <c r="D1944" s="28">
        <f>YEAR(TableauFlitrage[[#This Row],[Date_d_adjudication]])</f>
        <v>2024</v>
      </c>
      <c r="E1944" s="28">
        <f t="shared" si="33"/>
        <v>3</v>
      </c>
      <c r="F1944" s="15">
        <v>45355</v>
      </c>
      <c r="G1944" s="28">
        <v>91.911111000000005</v>
      </c>
      <c r="H1944" s="15">
        <v>45721</v>
      </c>
      <c r="I1944">
        <v>100</v>
      </c>
      <c r="J1944">
        <v>3000</v>
      </c>
      <c r="K1944" s="28">
        <v>8.7041000000000004</v>
      </c>
    </row>
    <row r="1945" spans="1:12" x14ac:dyDescent="0.2">
      <c r="A1945" s="28" t="s">
        <v>8</v>
      </c>
      <c r="B1945" s="2" t="s">
        <v>29</v>
      </c>
      <c r="C1945" s="30">
        <v>0.25</v>
      </c>
      <c r="D1945" s="28">
        <f>YEAR(TableauFlitrage[[#This Row],[Date_d_adjudication]])</f>
        <v>2024</v>
      </c>
      <c r="E1945" s="28">
        <f t="shared" si="33"/>
        <v>3</v>
      </c>
      <c r="F1945" s="15">
        <v>45356</v>
      </c>
      <c r="G1945" s="28">
        <v>98.428144000000003</v>
      </c>
      <c r="H1945" s="15">
        <v>45449</v>
      </c>
      <c r="I1945">
        <v>158.82669999999999</v>
      </c>
      <c r="J1945">
        <v>15000</v>
      </c>
      <c r="K1945" s="28">
        <v>6.3175999999999997</v>
      </c>
    </row>
    <row r="1946" spans="1:12" x14ac:dyDescent="0.2">
      <c r="A1946" s="28" t="s">
        <v>8</v>
      </c>
      <c r="B1946" s="2" t="s">
        <v>29</v>
      </c>
      <c r="C1946" s="30">
        <v>0.25</v>
      </c>
      <c r="D1946" s="28">
        <f>YEAR(TableauFlitrage[[#This Row],[Date_d_adjudication]])</f>
        <v>2024</v>
      </c>
      <c r="E1946" s="28">
        <f t="shared" si="33"/>
        <v>3</v>
      </c>
      <c r="F1946" s="15">
        <v>45356</v>
      </c>
      <c r="G1946" s="28">
        <v>100</v>
      </c>
      <c r="H1946" s="15">
        <v>45449</v>
      </c>
      <c r="I1946">
        <v>114.75709999999999</v>
      </c>
      <c r="J1946">
        <v>7000</v>
      </c>
      <c r="K1946" s="28">
        <v>6.3175999999999997</v>
      </c>
    </row>
    <row r="1947" spans="1:12" x14ac:dyDescent="0.2">
      <c r="A1947" s="28" t="s">
        <v>8</v>
      </c>
      <c r="B1947" s="2" t="s">
        <v>29</v>
      </c>
      <c r="C1947" s="30">
        <v>0.5</v>
      </c>
      <c r="D1947" s="28">
        <f>YEAR(TableauFlitrage[[#This Row],[Date_d_adjudication]])</f>
        <v>2024</v>
      </c>
      <c r="E1947" s="28">
        <f t="shared" si="33"/>
        <v>3</v>
      </c>
      <c r="F1947" s="15">
        <v>45356</v>
      </c>
      <c r="G1947" s="28">
        <v>96.732781000000003</v>
      </c>
      <c r="H1947" s="15">
        <v>45540</v>
      </c>
      <c r="I1947">
        <v>27.46</v>
      </c>
      <c r="J1947">
        <v>10000</v>
      </c>
      <c r="K1947" s="28">
        <v>6.6809000000000003</v>
      </c>
    </row>
    <row r="1948" spans="1:12" x14ac:dyDescent="0.2">
      <c r="A1948" s="28" t="s">
        <v>8</v>
      </c>
      <c r="B1948" s="2" t="s">
        <v>29</v>
      </c>
      <c r="C1948" s="30">
        <v>1</v>
      </c>
      <c r="D1948" s="28">
        <f>YEAR(TableauFlitrage[[#This Row],[Date_d_adjudication]])</f>
        <v>2024</v>
      </c>
      <c r="E1948" s="28">
        <f t="shared" si="33"/>
        <v>3</v>
      </c>
      <c r="F1948" s="15">
        <v>45356</v>
      </c>
      <c r="G1948" s="28">
        <v>96.732781000000003</v>
      </c>
      <c r="H1948" s="15">
        <v>45722</v>
      </c>
      <c r="I1948">
        <v>67.349999999999994</v>
      </c>
      <c r="J1948">
        <v>10000</v>
      </c>
      <c r="K1948" s="28">
        <v>7.4119000000000002</v>
      </c>
    </row>
    <row r="1949" spans="1:12" x14ac:dyDescent="0.2">
      <c r="A1949" s="28" t="s">
        <v>9</v>
      </c>
      <c r="B1949" s="2" t="s">
        <v>29</v>
      </c>
      <c r="C1949" s="30">
        <v>0.25</v>
      </c>
      <c r="D1949" s="28">
        <f>YEAR(TableauFlitrage[[#This Row],[Date_d_adjudication]])</f>
        <v>2024</v>
      </c>
      <c r="E1949" s="28">
        <f t="shared" si="33"/>
        <v>3</v>
      </c>
      <c r="F1949" s="15">
        <v>45357</v>
      </c>
      <c r="G1949" s="28">
        <v>98.430671000000004</v>
      </c>
      <c r="H1949" s="15">
        <v>45450</v>
      </c>
      <c r="I1949">
        <v>138.88890000000001</v>
      </c>
      <c r="J1949">
        <v>9000</v>
      </c>
      <c r="K1949" s="28">
        <v>6.3072999999999997</v>
      </c>
    </row>
    <row r="1950" spans="1:12" x14ac:dyDescent="0.2">
      <c r="A1950" s="28" t="s">
        <v>9</v>
      </c>
      <c r="B1950" s="2" t="s">
        <v>29</v>
      </c>
      <c r="C1950" s="30">
        <v>1</v>
      </c>
      <c r="D1950" s="28">
        <f>YEAR(TableauFlitrage[[#This Row],[Date_d_adjudication]])</f>
        <v>2024</v>
      </c>
      <c r="E1950" s="28">
        <f t="shared" si="33"/>
        <v>3</v>
      </c>
      <c r="F1950" s="15">
        <v>45357</v>
      </c>
      <c r="G1950" s="28">
        <v>93.517653999999993</v>
      </c>
      <c r="H1950" s="15">
        <v>45723</v>
      </c>
      <c r="I1950">
        <v>93.333299999999994</v>
      </c>
      <c r="J1950">
        <v>7500</v>
      </c>
      <c r="K1950" s="28">
        <v>6.8555000000000001</v>
      </c>
    </row>
    <row r="1951" spans="1:12" x14ac:dyDescent="0.2">
      <c r="A1951" s="28" t="s">
        <v>11</v>
      </c>
      <c r="B1951" s="2" t="s">
        <v>29</v>
      </c>
      <c r="C1951" s="30">
        <v>0.5</v>
      </c>
      <c r="D1951" s="28">
        <f>YEAR(TableauFlitrage[[#This Row],[Date_d_adjudication]])</f>
        <v>2024</v>
      </c>
      <c r="E1951" s="28">
        <f t="shared" si="33"/>
        <v>3</v>
      </c>
      <c r="F1951" s="15">
        <v>45357</v>
      </c>
      <c r="G1951" s="28">
        <v>96.463025000000002</v>
      </c>
      <c r="H1951" s="15">
        <v>45541</v>
      </c>
      <c r="I1951">
        <v>50.2</v>
      </c>
      <c r="J1951">
        <v>10000</v>
      </c>
      <c r="K1951" s="28">
        <v>7.2526999999999999</v>
      </c>
    </row>
    <row r="1952" spans="1:12" x14ac:dyDescent="0.2">
      <c r="A1952" s="28" t="s">
        <v>11</v>
      </c>
      <c r="B1952" t="s">
        <v>30</v>
      </c>
      <c r="C1952" s="30" t="s">
        <v>53</v>
      </c>
      <c r="D1952" s="28">
        <f>YEAR(TableauFlitrage[[#This Row],[Date_d_adjudication]])</f>
        <v>2024</v>
      </c>
      <c r="E1952" s="28">
        <f t="shared" si="33"/>
        <v>3</v>
      </c>
      <c r="F1952" s="15">
        <v>45357</v>
      </c>
      <c r="G1952" s="28">
        <v>91.2363</v>
      </c>
      <c r="H1952" s="15">
        <v>46089</v>
      </c>
      <c r="I1952">
        <v>139.45230000000001</v>
      </c>
      <c r="J1952">
        <v>20000</v>
      </c>
      <c r="K1952" s="28">
        <v>6.5</v>
      </c>
      <c r="L1952">
        <v>11.53</v>
      </c>
    </row>
    <row r="1953" spans="1:12" x14ac:dyDescent="0.2">
      <c r="A1953" s="28" t="s">
        <v>8</v>
      </c>
      <c r="B1953" s="2" t="s">
        <v>29</v>
      </c>
      <c r="C1953" s="30">
        <v>0.5</v>
      </c>
      <c r="D1953" s="28">
        <f>YEAR(TableauFlitrage[[#This Row],[Date_d_adjudication]])</f>
        <v>2024</v>
      </c>
      <c r="E1953" s="28">
        <f t="shared" si="33"/>
        <v>3</v>
      </c>
      <c r="F1953" s="15">
        <v>45363</v>
      </c>
      <c r="G1953" s="28">
        <v>96.687121899999994</v>
      </c>
      <c r="H1953" s="15">
        <v>45547</v>
      </c>
      <c r="I1953">
        <v>98.45</v>
      </c>
      <c r="J1953">
        <v>20000</v>
      </c>
      <c r="K1953" s="28">
        <v>6.7774999999999999</v>
      </c>
    </row>
    <row r="1954" spans="1:12" x14ac:dyDescent="0.2">
      <c r="A1954" s="28" t="s">
        <v>8</v>
      </c>
      <c r="B1954" s="2" t="s">
        <v>29</v>
      </c>
      <c r="C1954" s="30">
        <v>1</v>
      </c>
      <c r="D1954" s="28">
        <f>YEAR(TableauFlitrage[[#This Row],[Date_d_adjudication]])</f>
        <v>2024</v>
      </c>
      <c r="E1954" s="28">
        <f t="shared" si="33"/>
        <v>3</v>
      </c>
      <c r="F1954" s="15">
        <v>45363</v>
      </c>
      <c r="G1954" s="28">
        <v>93.760086999999999</v>
      </c>
      <c r="H1954" s="15">
        <v>45722</v>
      </c>
      <c r="I1954">
        <v>18.3</v>
      </c>
      <c r="J1954">
        <v>15000</v>
      </c>
      <c r="K1954" s="28">
        <v>6.75</v>
      </c>
    </row>
    <row r="1955" spans="1:12" x14ac:dyDescent="0.2">
      <c r="A1955" s="28" t="s">
        <v>8</v>
      </c>
      <c r="B1955" t="s">
        <v>30</v>
      </c>
      <c r="C1955" s="30" t="s">
        <v>54</v>
      </c>
      <c r="D1955" s="28">
        <f>YEAR(TableauFlitrage[[#This Row],[Date_d_adjudication]])</f>
        <v>2024</v>
      </c>
      <c r="E1955" s="28">
        <f t="shared" si="33"/>
        <v>3</v>
      </c>
      <c r="F1955" s="15">
        <v>45363</v>
      </c>
      <c r="G1955" s="28">
        <v>93.554199999999994</v>
      </c>
      <c r="H1955" s="15">
        <v>46419</v>
      </c>
      <c r="I1955">
        <v>5.7</v>
      </c>
      <c r="J1955">
        <v>10000</v>
      </c>
      <c r="K1955" s="28">
        <v>5.9</v>
      </c>
      <c r="L1955">
        <v>8.3699999999999992</v>
      </c>
    </row>
    <row r="1956" spans="1:12" x14ac:dyDescent="0.2">
      <c r="A1956" s="28" t="s">
        <v>9</v>
      </c>
      <c r="B1956" s="2" t="s">
        <v>29</v>
      </c>
      <c r="C1956" s="30">
        <v>0.5</v>
      </c>
      <c r="D1956" s="28">
        <f>YEAR(TableauFlitrage[[#This Row],[Date_d_adjudication]])</f>
        <v>2024</v>
      </c>
      <c r="E1956" s="28">
        <f t="shared" si="33"/>
        <v>3</v>
      </c>
      <c r="F1956" s="15">
        <v>45364</v>
      </c>
      <c r="G1956" s="28">
        <v>96.788424000000006</v>
      </c>
      <c r="H1956" s="15">
        <v>45548</v>
      </c>
      <c r="I1956">
        <v>125.2333</v>
      </c>
      <c r="J1956">
        <v>9000</v>
      </c>
      <c r="K1956" s="28">
        <v>6.5633999999999997</v>
      </c>
    </row>
    <row r="1957" spans="1:12" x14ac:dyDescent="0.2">
      <c r="A1957" s="28" t="s">
        <v>11</v>
      </c>
      <c r="B1957" s="2" t="s">
        <v>29</v>
      </c>
      <c r="C1957" s="30">
        <v>0.5</v>
      </c>
      <c r="D1957" s="28">
        <f>YEAR(TableauFlitrage[[#This Row],[Date_d_adjudication]])</f>
        <v>2024</v>
      </c>
      <c r="E1957" s="28">
        <f t="shared" si="33"/>
        <v>3</v>
      </c>
      <c r="F1957" s="15">
        <v>45364</v>
      </c>
      <c r="G1957" s="28">
        <v>96.484436000000002</v>
      </c>
      <c r="H1957" s="15">
        <v>45548</v>
      </c>
      <c r="I1957">
        <v>56.966700000000003</v>
      </c>
      <c r="J1957">
        <v>15000</v>
      </c>
      <c r="K1957" s="28">
        <v>7.2072000000000003</v>
      </c>
    </row>
    <row r="1958" spans="1:12" x14ac:dyDescent="0.2">
      <c r="A1958" s="28" t="s">
        <v>11</v>
      </c>
      <c r="B1958" t="s">
        <v>30</v>
      </c>
      <c r="C1958" s="30" t="s">
        <v>53</v>
      </c>
      <c r="D1958" s="28">
        <f>YEAR(TableauFlitrage[[#This Row],[Date_d_adjudication]])</f>
        <v>2024</v>
      </c>
      <c r="E1958" s="28">
        <f t="shared" si="33"/>
        <v>3</v>
      </c>
      <c r="F1958" s="15">
        <v>45364</v>
      </c>
      <c r="G1958" s="28">
        <v>90.764399999999995</v>
      </c>
      <c r="H1958" s="15">
        <v>46096</v>
      </c>
      <c r="I1958">
        <v>79.703999999999994</v>
      </c>
      <c r="J1958">
        <v>20000</v>
      </c>
      <c r="K1958" s="28">
        <v>6.5</v>
      </c>
      <c r="L1958">
        <v>11.82</v>
      </c>
    </row>
    <row r="1959" spans="1:12" x14ac:dyDescent="0.2">
      <c r="A1959" s="28" t="s">
        <v>11</v>
      </c>
      <c r="B1959" t="s">
        <v>30</v>
      </c>
      <c r="C1959" s="30" t="s">
        <v>54</v>
      </c>
      <c r="D1959" s="28">
        <f>YEAR(TableauFlitrage[[#This Row],[Date_d_adjudication]])</f>
        <v>2024</v>
      </c>
      <c r="E1959" s="28">
        <f t="shared" si="33"/>
        <v>3</v>
      </c>
      <c r="F1959" s="15">
        <v>45364</v>
      </c>
      <c r="G1959" s="28">
        <v>100</v>
      </c>
      <c r="H1959" s="15">
        <v>46461</v>
      </c>
      <c r="I1959">
        <v>100</v>
      </c>
      <c r="J1959">
        <v>2000</v>
      </c>
      <c r="K1959" s="28">
        <v>5</v>
      </c>
      <c r="L1959">
        <v>5</v>
      </c>
    </row>
    <row r="1960" spans="1:12" x14ac:dyDescent="0.2">
      <c r="A1960" s="28" t="s">
        <v>7</v>
      </c>
      <c r="B1960" s="2" t="s">
        <v>29</v>
      </c>
      <c r="C1960" s="30">
        <v>1</v>
      </c>
      <c r="D1960" s="28">
        <f>YEAR(TableauFlitrage[[#This Row],[Date_d_adjudication]])</f>
        <v>2024</v>
      </c>
      <c r="E1960" s="28">
        <f t="shared" si="33"/>
        <v>3</v>
      </c>
      <c r="F1960" s="15">
        <v>45369</v>
      </c>
      <c r="G1960" s="28">
        <v>93.336794999999995</v>
      </c>
      <c r="H1960" s="15">
        <v>45735</v>
      </c>
      <c r="I1960">
        <v>20.633299999999998</v>
      </c>
      <c r="J1960">
        <v>15000</v>
      </c>
      <c r="K1960" s="28">
        <v>7.0603999999999996</v>
      </c>
    </row>
    <row r="1961" spans="1:12" x14ac:dyDescent="0.2">
      <c r="A1961" s="28" t="s">
        <v>14</v>
      </c>
      <c r="B1961" t="s">
        <v>30</v>
      </c>
      <c r="C1961" s="30" t="s">
        <v>54</v>
      </c>
      <c r="D1961" s="28">
        <f>YEAR(TableauFlitrage[[#This Row],[Date_d_adjudication]])</f>
        <v>2024</v>
      </c>
      <c r="E1961" s="28">
        <f t="shared" si="33"/>
        <v>3</v>
      </c>
      <c r="F1961" s="15">
        <v>45369</v>
      </c>
      <c r="G1961" s="28">
        <v>89.521699999999996</v>
      </c>
      <c r="H1961" s="15">
        <v>46466</v>
      </c>
      <c r="I1961">
        <v>23</v>
      </c>
      <c r="J1961">
        <v>5000</v>
      </c>
      <c r="K1961" s="28">
        <v>6.25</v>
      </c>
      <c r="L1961">
        <v>10.41</v>
      </c>
    </row>
    <row r="1962" spans="1:12" x14ac:dyDescent="0.2">
      <c r="A1962" s="28" t="s">
        <v>8</v>
      </c>
      <c r="B1962" s="2" t="s">
        <v>29</v>
      </c>
      <c r="C1962" s="30">
        <v>0.25</v>
      </c>
      <c r="D1962" s="28">
        <f>YEAR(TableauFlitrage[[#This Row],[Date_d_adjudication]])</f>
        <v>2024</v>
      </c>
      <c r="E1962" s="28">
        <f t="shared" si="33"/>
        <v>3</v>
      </c>
      <c r="F1962" s="15">
        <v>45370</v>
      </c>
      <c r="G1962" s="28">
        <v>98.420388000000003</v>
      </c>
      <c r="H1962" s="15">
        <v>45463</v>
      </c>
      <c r="I1962">
        <v>4.9320000000000004</v>
      </c>
      <c r="J1962">
        <v>25000</v>
      </c>
      <c r="K1962" s="28">
        <v>6.3493000000000004</v>
      </c>
    </row>
    <row r="1963" spans="1:12" x14ac:dyDescent="0.2">
      <c r="A1963" s="28" t="s">
        <v>8</v>
      </c>
      <c r="B1963" s="2" t="s">
        <v>29</v>
      </c>
      <c r="C1963" s="30">
        <v>0.5</v>
      </c>
      <c r="D1963" s="28">
        <f>YEAR(TableauFlitrage[[#This Row],[Date_d_adjudication]])</f>
        <v>2024</v>
      </c>
      <c r="E1963" s="28">
        <f t="shared" si="33"/>
        <v>3</v>
      </c>
      <c r="F1963" s="15">
        <v>45370</v>
      </c>
      <c r="G1963" s="28">
        <v>96.731465</v>
      </c>
      <c r="H1963" s="15">
        <v>45554</v>
      </c>
      <c r="I1963">
        <v>17.329999999999998</v>
      </c>
      <c r="J1963">
        <v>20000</v>
      </c>
      <c r="K1963" s="28">
        <v>6.6837</v>
      </c>
    </row>
    <row r="1964" spans="1:12" x14ac:dyDescent="0.2">
      <c r="A1964" s="28" t="s">
        <v>8</v>
      </c>
      <c r="B1964" s="2" t="s">
        <v>29</v>
      </c>
      <c r="C1964" s="30">
        <v>1</v>
      </c>
      <c r="D1964" s="28">
        <f>YEAR(TableauFlitrage[[#This Row],[Date_d_adjudication]])</f>
        <v>2024</v>
      </c>
      <c r="E1964" s="28">
        <f t="shared" si="33"/>
        <v>3</v>
      </c>
      <c r="F1964" s="15">
        <v>45370</v>
      </c>
      <c r="G1964" s="28">
        <v>93.578434999999999</v>
      </c>
      <c r="H1964" s="15">
        <v>45719</v>
      </c>
      <c r="I1964">
        <v>40.619999999999997</v>
      </c>
      <c r="J1964">
        <v>15000</v>
      </c>
      <c r="K1964" s="28">
        <v>7.0583</v>
      </c>
    </row>
    <row r="1965" spans="1:12" x14ac:dyDescent="0.2">
      <c r="A1965" s="28" t="s">
        <v>8</v>
      </c>
      <c r="B1965" t="s">
        <v>30</v>
      </c>
      <c r="C1965" s="30" t="s">
        <v>54</v>
      </c>
      <c r="D1965" s="28">
        <f>YEAR(TableauFlitrage[[#This Row],[Date_d_adjudication]])</f>
        <v>2024</v>
      </c>
      <c r="E1965" s="28">
        <f t="shared" si="33"/>
        <v>3</v>
      </c>
      <c r="F1965" s="15">
        <v>45370</v>
      </c>
      <c r="G1965" s="28">
        <v>91.234300000000005</v>
      </c>
      <c r="H1965" s="15">
        <v>46419</v>
      </c>
      <c r="I1965">
        <v>39</v>
      </c>
      <c r="J1965">
        <v>15000</v>
      </c>
      <c r="K1965" s="28">
        <v>5.9</v>
      </c>
      <c r="L1965">
        <v>9.32</v>
      </c>
    </row>
    <row r="1966" spans="1:12" x14ac:dyDescent="0.2">
      <c r="A1966" s="28" t="s">
        <v>9</v>
      </c>
      <c r="B1966" s="2" t="s">
        <v>29</v>
      </c>
      <c r="C1966" s="30">
        <v>0.5</v>
      </c>
      <c r="D1966" s="28">
        <f>YEAR(TableauFlitrage[[#This Row],[Date_d_adjudication]])</f>
        <v>2024</v>
      </c>
      <c r="E1966" s="28">
        <f t="shared" si="33"/>
        <v>3</v>
      </c>
      <c r="F1966" s="15">
        <v>45371</v>
      </c>
      <c r="G1966" s="28">
        <v>96.785307000000003</v>
      </c>
      <c r="H1966" s="15">
        <v>45555</v>
      </c>
      <c r="I1966">
        <v>121.9067</v>
      </c>
      <c r="J1966">
        <v>7500</v>
      </c>
      <c r="K1966" s="28">
        <v>6.5698999999999996</v>
      </c>
    </row>
    <row r="1967" spans="1:12" x14ac:dyDescent="0.2">
      <c r="A1967" s="28" t="s">
        <v>11</v>
      </c>
      <c r="B1967" s="2" t="s">
        <v>29</v>
      </c>
      <c r="C1967" s="30">
        <v>0.5</v>
      </c>
      <c r="D1967" s="28">
        <f>YEAR(TableauFlitrage[[#This Row],[Date_d_adjudication]])</f>
        <v>2024</v>
      </c>
      <c r="E1967" s="28">
        <f t="shared" si="33"/>
        <v>3</v>
      </c>
      <c r="F1967" s="15">
        <v>45371</v>
      </c>
      <c r="G1967" s="28">
        <v>96.463284000000002</v>
      </c>
      <c r="H1967" s="15">
        <v>45555</v>
      </c>
      <c r="I1967">
        <v>69.8</v>
      </c>
      <c r="J1967">
        <v>10000</v>
      </c>
      <c r="K1967" s="28">
        <v>7.2522000000000002</v>
      </c>
    </row>
    <row r="1968" spans="1:12" x14ac:dyDescent="0.2">
      <c r="A1968" s="28" t="s">
        <v>11</v>
      </c>
      <c r="B1968" t="s">
        <v>30</v>
      </c>
      <c r="C1968" s="30" t="s">
        <v>53</v>
      </c>
      <c r="D1968" s="28">
        <f>YEAR(TableauFlitrage[[#This Row],[Date_d_adjudication]])</f>
        <v>2024</v>
      </c>
      <c r="E1968" s="28">
        <f t="shared" si="33"/>
        <v>3</v>
      </c>
      <c r="F1968" s="15">
        <v>45371</v>
      </c>
      <c r="G1968" s="28">
        <v>90.337299999999999</v>
      </c>
      <c r="H1968" s="15">
        <v>46103</v>
      </c>
      <c r="I1968">
        <v>19.57</v>
      </c>
      <c r="J1968">
        <v>30000</v>
      </c>
      <c r="K1968" s="28">
        <v>6</v>
      </c>
      <c r="L1968">
        <v>11.55</v>
      </c>
    </row>
    <row r="1969" spans="1:12" x14ac:dyDescent="0.2">
      <c r="A1969" s="28" t="s">
        <v>7</v>
      </c>
      <c r="B1969" t="s">
        <v>30</v>
      </c>
      <c r="C1969" s="30" t="s">
        <v>57</v>
      </c>
      <c r="D1969" s="28">
        <f>YEAR(TableauFlitrage[[#This Row],[Date_d_adjudication]])</f>
        <v>2024</v>
      </c>
      <c r="E1969" s="28">
        <f t="shared" si="33"/>
        <v>3</v>
      </c>
      <c r="F1969" s="15">
        <v>45376</v>
      </c>
      <c r="G1969" s="28">
        <v>96.054500000000004</v>
      </c>
      <c r="H1969" s="15">
        <v>47569</v>
      </c>
      <c r="I1969">
        <v>26.24</v>
      </c>
      <c r="J1969">
        <v>40000</v>
      </c>
      <c r="K1969" s="28">
        <v>6.75</v>
      </c>
      <c r="L1969">
        <v>7.58</v>
      </c>
    </row>
    <row r="1970" spans="1:12" x14ac:dyDescent="0.2">
      <c r="A1970" s="28" t="s">
        <v>8</v>
      </c>
      <c r="B1970" s="2" t="s">
        <v>29</v>
      </c>
      <c r="C1970" s="30">
        <v>0.25</v>
      </c>
      <c r="D1970" s="28">
        <f>YEAR(TableauFlitrage[[#This Row],[Date_d_adjudication]])</f>
        <v>2024</v>
      </c>
      <c r="E1970" s="28">
        <f t="shared" si="33"/>
        <v>3</v>
      </c>
      <c r="F1970" s="15">
        <v>45377</v>
      </c>
      <c r="G1970" s="28">
        <v>98.432958999999997</v>
      </c>
      <c r="H1970" s="15">
        <v>45470</v>
      </c>
      <c r="I1970">
        <v>33.5867</v>
      </c>
      <c r="J1970">
        <v>15000</v>
      </c>
      <c r="K1970" s="28">
        <v>6.298</v>
      </c>
    </row>
    <row r="1971" spans="1:12" x14ac:dyDescent="0.2">
      <c r="A1971" s="28" t="s">
        <v>8</v>
      </c>
      <c r="B1971" s="2" t="s">
        <v>29</v>
      </c>
      <c r="C1971" s="30">
        <v>0.5</v>
      </c>
      <c r="D1971" s="28">
        <f>YEAR(TableauFlitrage[[#This Row],[Date_d_adjudication]])</f>
        <v>2024</v>
      </c>
      <c r="E1971" s="28">
        <f t="shared" si="33"/>
        <v>3</v>
      </c>
      <c r="F1971" s="15">
        <v>45377</v>
      </c>
      <c r="G1971" s="28">
        <v>96.784982999999997</v>
      </c>
      <c r="H1971" s="15">
        <v>45561</v>
      </c>
      <c r="I1971">
        <v>11.4133</v>
      </c>
      <c r="J1971">
        <v>15000</v>
      </c>
      <c r="K1971" s="28">
        <v>6.5705999999999998</v>
      </c>
    </row>
    <row r="1972" spans="1:12" x14ac:dyDescent="0.2">
      <c r="A1972" s="28" t="s">
        <v>8</v>
      </c>
      <c r="B1972" t="s">
        <v>30</v>
      </c>
      <c r="C1972" s="30" t="s">
        <v>53</v>
      </c>
      <c r="D1972" s="28">
        <f>YEAR(TableauFlitrage[[#This Row],[Date_d_adjudication]])</f>
        <v>2024</v>
      </c>
      <c r="E1972" s="28">
        <f t="shared" si="33"/>
        <v>3</v>
      </c>
      <c r="F1972" s="15">
        <v>45377</v>
      </c>
      <c r="G1972" s="28">
        <v>92.738399999999999</v>
      </c>
      <c r="H1972" s="15">
        <v>46109</v>
      </c>
      <c r="I1972">
        <v>61.581299999999999</v>
      </c>
      <c r="J1972">
        <v>20000</v>
      </c>
      <c r="K1972" s="28">
        <v>5.5</v>
      </c>
      <c r="L1972">
        <v>9.58</v>
      </c>
    </row>
    <row r="1973" spans="1:12" x14ac:dyDescent="0.2">
      <c r="A1973" s="28" t="s">
        <v>8</v>
      </c>
      <c r="B1973" t="s">
        <v>30</v>
      </c>
      <c r="C1973" s="30" t="s">
        <v>56</v>
      </c>
      <c r="D1973" s="28">
        <f>YEAR(TableauFlitrage[[#This Row],[Date_d_adjudication]])</f>
        <v>2024</v>
      </c>
      <c r="E1973" s="28">
        <f t="shared" si="33"/>
        <v>3</v>
      </c>
      <c r="F1973" s="15">
        <v>45377</v>
      </c>
      <c r="G1973" s="28">
        <v>91</v>
      </c>
      <c r="H1973" s="15">
        <v>46840</v>
      </c>
      <c r="I1973">
        <v>40.06</v>
      </c>
      <c r="J1973">
        <v>25000</v>
      </c>
      <c r="K1973" s="28">
        <v>6</v>
      </c>
      <c r="L1973">
        <v>8.7100000000000009</v>
      </c>
    </row>
    <row r="1974" spans="1:12" x14ac:dyDescent="0.2">
      <c r="A1974" s="28" t="s">
        <v>9</v>
      </c>
      <c r="B1974" s="2" t="s">
        <v>29</v>
      </c>
      <c r="C1974" s="30">
        <v>0.5</v>
      </c>
      <c r="D1974" s="28">
        <f>YEAR(TableauFlitrage[[#This Row],[Date_d_adjudication]])</f>
        <v>2024</v>
      </c>
      <c r="E1974" s="28">
        <f t="shared" si="33"/>
        <v>3</v>
      </c>
      <c r="F1974" s="15">
        <v>45378</v>
      </c>
      <c r="G1974" s="28">
        <v>96.781766000000005</v>
      </c>
      <c r="H1974" s="15">
        <v>45562</v>
      </c>
      <c r="I1974">
        <v>71.239999999999995</v>
      </c>
      <c r="J1974">
        <v>7500</v>
      </c>
      <c r="K1974" s="28">
        <v>6.5773999999999999</v>
      </c>
    </row>
    <row r="1975" spans="1:12" x14ac:dyDescent="0.2">
      <c r="A1975" s="28" t="s">
        <v>7</v>
      </c>
      <c r="B1975" s="2" t="s">
        <v>29</v>
      </c>
      <c r="C1975" s="30">
        <v>0.5</v>
      </c>
      <c r="D1975" s="28">
        <f>YEAR(TableauFlitrage[[#This Row],[Date_d_adjudication]])</f>
        <v>2024</v>
      </c>
      <c r="E1975" s="28">
        <f t="shared" si="33"/>
        <v>4</v>
      </c>
      <c r="F1975" s="15">
        <v>45383</v>
      </c>
      <c r="G1975" s="28">
        <v>96.713888999999995</v>
      </c>
      <c r="H1975" s="15">
        <v>45567</v>
      </c>
      <c r="I1975">
        <v>48.04</v>
      </c>
      <c r="J1975">
        <v>25000</v>
      </c>
      <c r="K1975" s="28">
        <v>6.7209000000000003</v>
      </c>
    </row>
    <row r="1976" spans="1:12" x14ac:dyDescent="0.2">
      <c r="A1976" s="28" t="s">
        <v>8</v>
      </c>
      <c r="B1976" s="2" t="s">
        <v>29</v>
      </c>
      <c r="C1976" s="30">
        <v>0.5</v>
      </c>
      <c r="D1976" s="28">
        <f>YEAR(TableauFlitrage[[#This Row],[Date_d_adjudication]])</f>
        <v>2024</v>
      </c>
      <c r="E1976" s="28">
        <f t="shared" si="33"/>
        <v>4</v>
      </c>
      <c r="F1976" s="15">
        <v>45384</v>
      </c>
      <c r="G1976" s="28">
        <v>96.764443999999997</v>
      </c>
      <c r="H1976" s="15">
        <v>45568</v>
      </c>
      <c r="I1976">
        <v>100</v>
      </c>
      <c r="J1976">
        <v>31175</v>
      </c>
      <c r="K1976" s="28">
        <v>6.6139999999999999</v>
      </c>
    </row>
    <row r="1977" spans="1:12" x14ac:dyDescent="0.2">
      <c r="A1977" s="28" t="s">
        <v>10</v>
      </c>
      <c r="B1977" s="2" t="s">
        <v>29</v>
      </c>
      <c r="C1977" s="30">
        <v>1</v>
      </c>
      <c r="D1977" s="28">
        <f>YEAR(TableauFlitrage[[#This Row],[Date_d_adjudication]])</f>
        <v>2024</v>
      </c>
      <c r="E1977" s="28">
        <f t="shared" si="33"/>
        <v>4</v>
      </c>
      <c r="F1977" s="15">
        <v>45384</v>
      </c>
      <c r="G1977" s="28">
        <v>93.684937000000005</v>
      </c>
      <c r="H1977" s="15">
        <v>45750</v>
      </c>
      <c r="I1977">
        <v>147.80000000000001</v>
      </c>
      <c r="J1977">
        <v>15000</v>
      </c>
      <c r="K1977" s="28">
        <v>6.6666999999999996</v>
      </c>
    </row>
    <row r="1978" spans="1:12" x14ac:dyDescent="0.2">
      <c r="A1978" s="28" t="s">
        <v>8</v>
      </c>
      <c r="B1978" t="s">
        <v>30</v>
      </c>
      <c r="C1978" s="30" t="s">
        <v>53</v>
      </c>
      <c r="D1978" s="28">
        <f>YEAR(TableauFlitrage[[#This Row],[Date_d_adjudication]])</f>
        <v>2024</v>
      </c>
      <c r="E1978" s="28">
        <f t="shared" si="33"/>
        <v>4</v>
      </c>
      <c r="F1978" s="15">
        <v>45384</v>
      </c>
      <c r="G1978" s="28">
        <v>97.680800000000005</v>
      </c>
      <c r="H1978" s="15">
        <v>45739</v>
      </c>
      <c r="I1978">
        <v>100</v>
      </c>
      <c r="J1978">
        <v>21975</v>
      </c>
      <c r="K1978" s="28">
        <v>5.5</v>
      </c>
      <c r="L1978">
        <v>7.96</v>
      </c>
    </row>
    <row r="1979" spans="1:12" x14ac:dyDescent="0.2">
      <c r="A1979" s="28" t="s">
        <v>8</v>
      </c>
      <c r="B1979" t="s">
        <v>30</v>
      </c>
      <c r="C1979" s="30" t="s">
        <v>53</v>
      </c>
      <c r="D1979" s="28">
        <f>YEAR(TableauFlitrage[[#This Row],[Date_d_adjudication]])</f>
        <v>2024</v>
      </c>
      <c r="E1979" s="28">
        <f t="shared" si="33"/>
        <v>4</v>
      </c>
      <c r="F1979" s="15">
        <v>45384</v>
      </c>
      <c r="G1979" s="28">
        <v>98.8005</v>
      </c>
      <c r="H1979" s="15">
        <v>45914</v>
      </c>
      <c r="I1979">
        <v>99.197800000000001</v>
      </c>
      <c r="J1979">
        <v>24894</v>
      </c>
      <c r="K1979" s="28">
        <v>5.5</v>
      </c>
      <c r="L1979">
        <v>6.75</v>
      </c>
    </row>
    <row r="1980" spans="1:12" x14ac:dyDescent="0.2">
      <c r="A1980" s="28" t="s">
        <v>8</v>
      </c>
      <c r="B1980" t="s">
        <v>30</v>
      </c>
      <c r="C1980" s="30" t="s">
        <v>53</v>
      </c>
      <c r="D1980" s="28">
        <f>YEAR(TableauFlitrage[[#This Row],[Date_d_adjudication]])</f>
        <v>2024</v>
      </c>
      <c r="E1980" s="28">
        <f t="shared" si="33"/>
        <v>4</v>
      </c>
      <c r="F1980" s="15">
        <v>45384</v>
      </c>
      <c r="G1980" s="28">
        <v>97.375399999999999</v>
      </c>
      <c r="H1980" s="15">
        <v>45956</v>
      </c>
      <c r="I1980">
        <v>99.962400000000002</v>
      </c>
      <c r="J1980">
        <v>2660</v>
      </c>
      <c r="K1980" s="28">
        <v>5.4</v>
      </c>
      <c r="L1980">
        <v>6.83</v>
      </c>
    </row>
    <row r="1981" spans="1:12" x14ac:dyDescent="0.2">
      <c r="A1981" s="28" t="s">
        <v>8</v>
      </c>
      <c r="B1981" t="s">
        <v>30</v>
      </c>
      <c r="C1981" s="30" t="s">
        <v>53</v>
      </c>
      <c r="D1981" s="28">
        <f>YEAR(TableauFlitrage[[#This Row],[Date_d_adjudication]])</f>
        <v>2024</v>
      </c>
      <c r="E1981" s="28">
        <f t="shared" si="33"/>
        <v>4</v>
      </c>
      <c r="F1981" s="15">
        <v>45384</v>
      </c>
      <c r="G1981" s="28">
        <v>97.556299999999993</v>
      </c>
      <c r="H1981" s="15">
        <v>45963</v>
      </c>
      <c r="I1981">
        <v>100</v>
      </c>
      <c r="J1981">
        <v>2641</v>
      </c>
      <c r="K1981" s="28">
        <v>5.6</v>
      </c>
      <c r="L1981">
        <v>6.93</v>
      </c>
    </row>
    <row r="1982" spans="1:12" x14ac:dyDescent="0.2">
      <c r="A1982" s="28" t="s">
        <v>8</v>
      </c>
      <c r="B1982" t="s">
        <v>30</v>
      </c>
      <c r="C1982" s="30" t="s">
        <v>54</v>
      </c>
      <c r="D1982" s="28">
        <f>YEAR(TableauFlitrage[[#This Row],[Date_d_adjudication]])</f>
        <v>2024</v>
      </c>
      <c r="E1982" s="28">
        <f t="shared" si="33"/>
        <v>4</v>
      </c>
      <c r="F1982" s="15">
        <v>45384</v>
      </c>
      <c r="G1982" s="28">
        <v>97.104900000000001</v>
      </c>
      <c r="H1982" s="15">
        <v>46011</v>
      </c>
      <c r="I1982">
        <v>100</v>
      </c>
      <c r="J1982">
        <v>2427</v>
      </c>
      <c r="K1982" s="28">
        <v>6</v>
      </c>
      <c r="L1982">
        <v>7.59</v>
      </c>
    </row>
    <row r="1983" spans="1:12" x14ac:dyDescent="0.2">
      <c r="A1983" s="28" t="s">
        <v>8</v>
      </c>
      <c r="B1983" t="s">
        <v>30</v>
      </c>
      <c r="C1983" s="30" t="s">
        <v>54</v>
      </c>
      <c r="D1983" s="28">
        <f>YEAR(TableauFlitrage[[#This Row],[Date_d_adjudication]])</f>
        <v>2024</v>
      </c>
      <c r="E1983" s="28">
        <f t="shared" si="33"/>
        <v>4</v>
      </c>
      <c r="F1983" s="15">
        <v>45384</v>
      </c>
      <c r="G1983" s="28">
        <v>95.354100000000003</v>
      </c>
      <c r="H1983" s="15">
        <v>46069</v>
      </c>
      <c r="I1983">
        <v>100</v>
      </c>
      <c r="J1983">
        <v>1432</v>
      </c>
      <c r="K1983" s="28">
        <v>5.75</v>
      </c>
      <c r="L1983">
        <v>8.32</v>
      </c>
    </row>
    <row r="1984" spans="1:12" x14ac:dyDescent="0.2">
      <c r="A1984" s="28" t="s">
        <v>8</v>
      </c>
      <c r="B1984" t="s">
        <v>30</v>
      </c>
      <c r="C1984" s="30" t="s">
        <v>54</v>
      </c>
      <c r="D1984" s="28">
        <f>YEAR(TableauFlitrage[[#This Row],[Date_d_adjudication]])</f>
        <v>2024</v>
      </c>
      <c r="E1984" s="28">
        <f t="shared" si="33"/>
        <v>4</v>
      </c>
      <c r="F1984" s="15">
        <v>45384</v>
      </c>
      <c r="G1984" s="28">
        <v>98.819699999999997</v>
      </c>
      <c r="H1984" s="15">
        <v>46188</v>
      </c>
      <c r="I1984">
        <v>118.0822</v>
      </c>
      <c r="J1984">
        <v>32000</v>
      </c>
      <c r="K1984" s="28">
        <v>6</v>
      </c>
      <c r="L1984">
        <v>6.64</v>
      </c>
    </row>
    <row r="1985" spans="1:12" x14ac:dyDescent="0.2">
      <c r="A1985" s="28" t="s">
        <v>8</v>
      </c>
      <c r="B1985" t="s">
        <v>30</v>
      </c>
      <c r="C1985" s="30" t="s">
        <v>54</v>
      </c>
      <c r="D1985" s="28">
        <f>YEAR(TableauFlitrage[[#This Row],[Date_d_adjudication]])</f>
        <v>2024</v>
      </c>
      <c r="E1985" s="28">
        <f t="shared" si="33"/>
        <v>4</v>
      </c>
      <c r="F1985" s="15">
        <v>45384</v>
      </c>
      <c r="G1985" s="28">
        <v>93</v>
      </c>
      <c r="H1985" s="15">
        <v>46481</v>
      </c>
      <c r="I1985">
        <v>101.80540000000001</v>
      </c>
      <c r="J1985">
        <v>43054</v>
      </c>
      <c r="K1985" s="28">
        <v>6.5</v>
      </c>
      <c r="L1985">
        <v>9.2200000000000006</v>
      </c>
    </row>
    <row r="1986" spans="1:12" x14ac:dyDescent="0.2">
      <c r="A1986" s="28" t="s">
        <v>8</v>
      </c>
      <c r="B1986" t="s">
        <v>30</v>
      </c>
      <c r="C1986" s="30" t="s">
        <v>56</v>
      </c>
      <c r="D1986" s="28">
        <f>YEAR(TableauFlitrage[[#This Row],[Date_d_adjudication]])</f>
        <v>2024</v>
      </c>
      <c r="E1986" s="28">
        <f t="shared" si="33"/>
        <v>4</v>
      </c>
      <c r="F1986" s="15">
        <v>45384</v>
      </c>
      <c r="G1986" s="28">
        <v>91</v>
      </c>
      <c r="H1986" s="15">
        <v>46847</v>
      </c>
      <c r="I1986">
        <v>97.964100000000002</v>
      </c>
      <c r="J1986">
        <v>31300</v>
      </c>
      <c r="K1986" s="28">
        <v>6.5</v>
      </c>
      <c r="L1986">
        <v>9.2200000000000006</v>
      </c>
    </row>
    <row r="1987" spans="1:12" x14ac:dyDescent="0.2">
      <c r="A1987" s="28" t="s">
        <v>8</v>
      </c>
      <c r="B1987" t="s">
        <v>30</v>
      </c>
      <c r="C1987" s="30" t="s">
        <v>55</v>
      </c>
      <c r="D1987" s="28">
        <f>YEAR(TableauFlitrage[[#This Row],[Date_d_adjudication]])</f>
        <v>2024</v>
      </c>
      <c r="E1987" s="28">
        <f t="shared" si="33"/>
        <v>4</v>
      </c>
      <c r="F1987" s="15">
        <v>45384</v>
      </c>
      <c r="G1987" s="28">
        <v>93.710400000000007</v>
      </c>
      <c r="H1987" s="15">
        <v>46442</v>
      </c>
      <c r="I1987">
        <v>99.948899999999995</v>
      </c>
      <c r="J1987">
        <v>1957</v>
      </c>
      <c r="K1987" s="28">
        <v>6.5</v>
      </c>
      <c r="L1987">
        <v>8.94</v>
      </c>
    </row>
    <row r="1988" spans="1:12" x14ac:dyDescent="0.2">
      <c r="A1988" s="28" t="s">
        <v>8</v>
      </c>
      <c r="B1988" t="s">
        <v>30</v>
      </c>
      <c r="C1988" s="30" t="s">
        <v>55</v>
      </c>
      <c r="D1988" s="28">
        <f>YEAR(TableauFlitrage[[#This Row],[Date_d_adjudication]])</f>
        <v>2024</v>
      </c>
      <c r="E1988" s="28">
        <f t="shared" si="33"/>
        <v>4</v>
      </c>
      <c r="F1988" s="15">
        <v>45384</v>
      </c>
      <c r="G1988" s="28">
        <v>94.972700000000003</v>
      </c>
      <c r="H1988" s="15">
        <v>46933</v>
      </c>
      <c r="I1988">
        <v>100</v>
      </c>
      <c r="J1988">
        <v>1135</v>
      </c>
      <c r="K1988" s="28">
        <v>6.5</v>
      </c>
      <c r="L1988">
        <v>7.99</v>
      </c>
    </row>
    <row r="1989" spans="1:12" x14ac:dyDescent="0.2">
      <c r="A1989" s="28" t="s">
        <v>8</v>
      </c>
      <c r="B1989" t="s">
        <v>30</v>
      </c>
      <c r="C1989" s="30" t="s">
        <v>57</v>
      </c>
      <c r="D1989" s="28">
        <f>YEAR(TableauFlitrage[[#This Row],[Date_d_adjudication]])</f>
        <v>2024</v>
      </c>
      <c r="E1989" s="28">
        <f t="shared" si="33"/>
        <v>4</v>
      </c>
      <c r="F1989" s="15">
        <v>45384</v>
      </c>
      <c r="G1989" s="28">
        <v>89</v>
      </c>
      <c r="H1989" s="15">
        <v>47577</v>
      </c>
      <c r="I1989">
        <v>91.044799999999995</v>
      </c>
      <c r="J1989">
        <v>3350</v>
      </c>
      <c r="K1989" s="28">
        <v>7.25</v>
      </c>
      <c r="L1989">
        <v>9.7100000000000009</v>
      </c>
    </row>
    <row r="1990" spans="1:12" x14ac:dyDescent="0.2">
      <c r="A1990" s="28" t="s">
        <v>8</v>
      </c>
      <c r="B1990" t="s">
        <v>30</v>
      </c>
      <c r="C1990" s="30" t="s">
        <v>53</v>
      </c>
      <c r="D1990" s="28">
        <f>YEAR(TableauFlitrage[[#This Row],[Date_d_adjudication]])</f>
        <v>2024</v>
      </c>
      <c r="E1990" s="28">
        <f t="shared" si="33"/>
        <v>4</v>
      </c>
      <c r="F1990" s="15">
        <v>45384</v>
      </c>
      <c r="G1990" s="28">
        <v>100.1808</v>
      </c>
      <c r="H1990" s="15">
        <v>45739</v>
      </c>
      <c r="I1990">
        <v>100</v>
      </c>
      <c r="J1990">
        <v>4000</v>
      </c>
      <c r="K1990" s="28">
        <v>5.5</v>
      </c>
      <c r="L1990">
        <v>5.31</v>
      </c>
    </row>
    <row r="1991" spans="1:12" x14ac:dyDescent="0.2">
      <c r="A1991" s="28" t="s">
        <v>8</v>
      </c>
      <c r="B1991" t="s">
        <v>30</v>
      </c>
      <c r="C1991" s="30" t="s">
        <v>54</v>
      </c>
      <c r="D1991" s="28">
        <f>YEAR(TableauFlitrage[[#This Row],[Date_d_adjudication]])</f>
        <v>2024</v>
      </c>
      <c r="E1991" s="28">
        <f t="shared" si="33"/>
        <v>4</v>
      </c>
      <c r="F1991" s="15">
        <v>45384</v>
      </c>
      <c r="G1991" s="28">
        <v>100</v>
      </c>
      <c r="H1991" s="15">
        <v>45747</v>
      </c>
      <c r="I1991">
        <v>100.57</v>
      </c>
      <c r="J1991">
        <v>29779</v>
      </c>
      <c r="K1991" s="28">
        <v>6</v>
      </c>
    </row>
    <row r="1992" spans="1:12" x14ac:dyDescent="0.2">
      <c r="A1992" s="28" t="s">
        <v>8</v>
      </c>
      <c r="B1992" t="s">
        <v>30</v>
      </c>
      <c r="C1992" s="30" t="s">
        <v>54</v>
      </c>
      <c r="D1992" s="28">
        <f>YEAR(TableauFlitrage[[#This Row],[Date_d_adjudication]])</f>
        <v>2024</v>
      </c>
      <c r="E1992" s="28">
        <f t="shared" si="33"/>
        <v>4</v>
      </c>
      <c r="F1992" s="15">
        <v>45384</v>
      </c>
      <c r="G1992" s="28">
        <v>100</v>
      </c>
      <c r="H1992" s="15">
        <v>45419</v>
      </c>
      <c r="I1992">
        <v>100</v>
      </c>
      <c r="J1992">
        <v>6865</v>
      </c>
      <c r="K1992" s="28">
        <v>6</v>
      </c>
    </row>
    <row r="1993" spans="1:12" x14ac:dyDescent="0.2">
      <c r="A1993" s="28" t="s">
        <v>8</v>
      </c>
      <c r="B1993" t="s">
        <v>30</v>
      </c>
      <c r="C1993" s="30" t="s">
        <v>54</v>
      </c>
      <c r="D1993" s="28">
        <f>YEAR(TableauFlitrage[[#This Row],[Date_d_adjudication]])</f>
        <v>2024</v>
      </c>
      <c r="E1993" s="28">
        <f t="shared" si="33"/>
        <v>4</v>
      </c>
      <c r="F1993" s="15">
        <v>45384</v>
      </c>
      <c r="G1993" s="28">
        <v>100</v>
      </c>
      <c r="H1993" s="15">
        <v>45426</v>
      </c>
      <c r="I1993">
        <v>100</v>
      </c>
      <c r="J1993">
        <v>8000</v>
      </c>
      <c r="K1993" s="28">
        <v>6</v>
      </c>
    </row>
    <row r="1994" spans="1:12" x14ac:dyDescent="0.2">
      <c r="A1994" s="28" t="s">
        <v>8</v>
      </c>
      <c r="B1994" t="s">
        <v>30</v>
      </c>
      <c r="C1994" s="30" t="s">
        <v>53</v>
      </c>
      <c r="D1994" s="28">
        <f>YEAR(TableauFlitrage[[#This Row],[Date_d_adjudication]])</f>
        <v>2024</v>
      </c>
      <c r="E1994" s="28">
        <f t="shared" si="33"/>
        <v>4</v>
      </c>
      <c r="F1994" s="15">
        <v>45384</v>
      </c>
      <c r="G1994" s="28">
        <v>100</v>
      </c>
      <c r="H1994" s="15">
        <v>45431</v>
      </c>
      <c r="I1994">
        <v>100</v>
      </c>
      <c r="J1994">
        <v>9875</v>
      </c>
      <c r="K1994" s="28">
        <v>5.25</v>
      </c>
    </row>
    <row r="1995" spans="1:12" x14ac:dyDescent="0.2">
      <c r="A1995" s="28" t="s">
        <v>8</v>
      </c>
      <c r="B1995" t="s">
        <v>30</v>
      </c>
      <c r="C1995" s="30" t="s">
        <v>54</v>
      </c>
      <c r="D1995" s="28">
        <f>YEAR(TableauFlitrage[[#This Row],[Date_d_adjudication]])</f>
        <v>2024</v>
      </c>
      <c r="E1995" s="28">
        <f t="shared" si="33"/>
        <v>4</v>
      </c>
      <c r="F1995" s="15">
        <v>45384</v>
      </c>
      <c r="G1995" s="28">
        <v>100</v>
      </c>
      <c r="H1995" s="15">
        <v>45454</v>
      </c>
      <c r="I1995">
        <v>100</v>
      </c>
      <c r="J1995">
        <v>5000</v>
      </c>
      <c r="K1995" s="28">
        <v>6</v>
      </c>
    </row>
    <row r="1996" spans="1:12" x14ac:dyDescent="0.2">
      <c r="A1996" s="28" t="s">
        <v>8</v>
      </c>
      <c r="B1996" t="s">
        <v>30</v>
      </c>
      <c r="C1996" s="30" t="s">
        <v>54</v>
      </c>
      <c r="D1996" s="28">
        <f>YEAR(TableauFlitrage[[#This Row],[Date_d_adjudication]])</f>
        <v>2024</v>
      </c>
      <c r="E1996" s="28">
        <f t="shared" si="33"/>
        <v>4</v>
      </c>
      <c r="F1996" s="15">
        <v>45384</v>
      </c>
      <c r="G1996" s="28">
        <v>100</v>
      </c>
      <c r="H1996" s="15">
        <v>45473</v>
      </c>
      <c r="I1996">
        <v>100</v>
      </c>
      <c r="J1996">
        <v>4190</v>
      </c>
      <c r="K1996" s="28">
        <v>6</v>
      </c>
    </row>
    <row r="1997" spans="1:12" x14ac:dyDescent="0.2">
      <c r="A1997" s="28" t="s">
        <v>8</v>
      </c>
      <c r="B1997" t="s">
        <v>30</v>
      </c>
      <c r="C1997" s="30" t="s">
        <v>53</v>
      </c>
      <c r="D1997" s="28">
        <f>YEAR(TableauFlitrage[[#This Row],[Date_d_adjudication]])</f>
        <v>2024</v>
      </c>
      <c r="E1997" s="28">
        <f t="shared" si="33"/>
        <v>4</v>
      </c>
      <c r="F1997" s="15">
        <v>45384</v>
      </c>
      <c r="G1997" s="28">
        <v>100</v>
      </c>
      <c r="H1997" s="15">
        <v>45480</v>
      </c>
      <c r="I1997">
        <v>100.01</v>
      </c>
      <c r="J1997">
        <v>4782</v>
      </c>
      <c r="K1997" s="28">
        <v>5.25</v>
      </c>
    </row>
    <row r="1998" spans="1:12" x14ac:dyDescent="0.2">
      <c r="A1998" s="28" t="s">
        <v>8</v>
      </c>
      <c r="B1998" t="s">
        <v>30</v>
      </c>
      <c r="C1998" s="30" t="s">
        <v>53</v>
      </c>
      <c r="D1998" s="28">
        <f>YEAR(TableauFlitrage[[#This Row],[Date_d_adjudication]])</f>
        <v>2024</v>
      </c>
      <c r="E1998" s="28">
        <f t="shared" si="33"/>
        <v>4</v>
      </c>
      <c r="F1998" s="15">
        <v>45384</v>
      </c>
      <c r="G1998" s="28">
        <v>100</v>
      </c>
      <c r="H1998" s="15">
        <v>45487</v>
      </c>
      <c r="I1998">
        <v>100</v>
      </c>
      <c r="J1998">
        <v>4500</v>
      </c>
      <c r="K1998" s="28">
        <v>5.25</v>
      </c>
    </row>
    <row r="1999" spans="1:12" x14ac:dyDescent="0.2">
      <c r="A1999" s="28" t="s">
        <v>8</v>
      </c>
      <c r="B1999" t="s">
        <v>30</v>
      </c>
      <c r="C1999" s="30" t="s">
        <v>53</v>
      </c>
      <c r="D1999" s="28">
        <f>YEAR(TableauFlitrage[[#This Row],[Date_d_adjudication]])</f>
        <v>2024</v>
      </c>
      <c r="E1999" s="28">
        <f t="shared" si="33"/>
        <v>4</v>
      </c>
      <c r="F1999" s="15">
        <v>45384</v>
      </c>
      <c r="G1999" s="28">
        <v>100</v>
      </c>
      <c r="H1999" s="15">
        <v>45515</v>
      </c>
      <c r="I1999">
        <v>70.78</v>
      </c>
      <c r="J1999">
        <v>3388</v>
      </c>
      <c r="K1999" s="28">
        <v>5.25</v>
      </c>
    </row>
    <row r="2000" spans="1:12" x14ac:dyDescent="0.2">
      <c r="A2000" s="28" t="s">
        <v>8</v>
      </c>
      <c r="B2000" t="s">
        <v>30</v>
      </c>
      <c r="C2000" s="30" t="s">
        <v>53</v>
      </c>
      <c r="D2000" s="28">
        <f>YEAR(TableauFlitrage[[#This Row],[Date_d_adjudication]])</f>
        <v>2024</v>
      </c>
      <c r="E2000" s="28">
        <f t="shared" si="33"/>
        <v>4</v>
      </c>
      <c r="F2000" s="15">
        <v>45384</v>
      </c>
      <c r="G2000" s="28">
        <v>100</v>
      </c>
      <c r="H2000" s="15">
        <v>45571</v>
      </c>
      <c r="I2000">
        <v>100</v>
      </c>
      <c r="J2000">
        <v>7860</v>
      </c>
      <c r="K2000" s="28">
        <v>5.25</v>
      </c>
    </row>
    <row r="2001" spans="1:12" x14ac:dyDescent="0.2">
      <c r="A2001" s="28" t="s">
        <v>8</v>
      </c>
      <c r="B2001" t="s">
        <v>30</v>
      </c>
      <c r="C2001" s="30" t="s">
        <v>53</v>
      </c>
      <c r="D2001" s="28">
        <f>YEAR(TableauFlitrage[[#This Row],[Date_d_adjudication]])</f>
        <v>2024</v>
      </c>
      <c r="E2001" s="28">
        <f t="shared" si="33"/>
        <v>4</v>
      </c>
      <c r="F2001" s="15">
        <v>45384</v>
      </c>
      <c r="G2001" s="28">
        <v>100</v>
      </c>
      <c r="H2001" s="15">
        <v>45599</v>
      </c>
      <c r="I2001">
        <v>100</v>
      </c>
      <c r="J2001">
        <v>17900</v>
      </c>
      <c r="K2001" s="28">
        <v>5.5</v>
      </c>
    </row>
    <row r="2002" spans="1:12" x14ac:dyDescent="0.2">
      <c r="A2002" s="28" t="s">
        <v>8</v>
      </c>
      <c r="B2002" t="s">
        <v>30</v>
      </c>
      <c r="C2002" s="30" t="s">
        <v>53</v>
      </c>
      <c r="D2002" s="28">
        <f>YEAR(TableauFlitrage[[#This Row],[Date_d_adjudication]])</f>
        <v>2024</v>
      </c>
      <c r="E2002" s="28">
        <f t="shared" ref="E2002:E2045" si="34">MONTH(F2002)</f>
        <v>4</v>
      </c>
      <c r="F2002" s="15">
        <v>45384</v>
      </c>
      <c r="G2002" s="28">
        <v>100</v>
      </c>
      <c r="H2002" s="15">
        <v>45648</v>
      </c>
      <c r="I2002">
        <v>100</v>
      </c>
      <c r="J2002">
        <v>4500</v>
      </c>
      <c r="K2002" s="28">
        <v>5.5</v>
      </c>
    </row>
    <row r="2003" spans="1:12" x14ac:dyDescent="0.2">
      <c r="A2003" s="28" t="s">
        <v>8</v>
      </c>
      <c r="B2003" t="s">
        <v>30</v>
      </c>
      <c r="C2003" s="30" t="s">
        <v>53</v>
      </c>
      <c r="D2003" s="28">
        <f>YEAR(TableauFlitrage[[#This Row],[Date_d_adjudication]])</f>
        <v>2024</v>
      </c>
      <c r="E2003" s="28">
        <f t="shared" si="34"/>
        <v>4</v>
      </c>
      <c r="F2003" s="15">
        <v>45384</v>
      </c>
      <c r="G2003" s="28">
        <v>100</v>
      </c>
      <c r="H2003" s="15">
        <v>45676</v>
      </c>
      <c r="I2003">
        <v>100</v>
      </c>
      <c r="J2003">
        <v>17789.5</v>
      </c>
      <c r="K2003" s="28">
        <v>5.5</v>
      </c>
    </row>
    <row r="2004" spans="1:12" x14ac:dyDescent="0.2">
      <c r="A2004" s="28" t="s">
        <v>8</v>
      </c>
      <c r="B2004" t="s">
        <v>30</v>
      </c>
      <c r="C2004" s="30" t="s">
        <v>53</v>
      </c>
      <c r="D2004" s="28">
        <f>YEAR(TableauFlitrage[[#This Row],[Date_d_adjudication]])</f>
        <v>2024</v>
      </c>
      <c r="E2004" s="28">
        <f t="shared" si="34"/>
        <v>4</v>
      </c>
      <c r="F2004" s="15">
        <v>45384</v>
      </c>
      <c r="G2004" s="28">
        <v>100</v>
      </c>
      <c r="H2004" s="15">
        <v>45739</v>
      </c>
      <c r="I2004">
        <v>100</v>
      </c>
      <c r="J2004">
        <v>4000</v>
      </c>
      <c r="K2004" s="28">
        <v>5.5</v>
      </c>
    </row>
    <row r="2005" spans="1:12" x14ac:dyDescent="0.2">
      <c r="A2005" s="28" t="s">
        <v>8</v>
      </c>
      <c r="B2005" t="s">
        <v>30</v>
      </c>
      <c r="C2005" s="30" t="s">
        <v>53</v>
      </c>
      <c r="D2005" s="28">
        <f>YEAR(TableauFlitrage[[#This Row],[Date_d_adjudication]])</f>
        <v>2024</v>
      </c>
      <c r="E2005" s="28">
        <f t="shared" si="34"/>
        <v>4</v>
      </c>
      <c r="F2005" s="15">
        <v>45384</v>
      </c>
      <c r="G2005" s="28">
        <v>100</v>
      </c>
      <c r="H2005" s="15">
        <v>45704</v>
      </c>
      <c r="I2005">
        <v>99.99</v>
      </c>
      <c r="J2005">
        <v>5257</v>
      </c>
      <c r="K2005" s="28">
        <v>6.5</v>
      </c>
    </row>
    <row r="2006" spans="1:12" x14ac:dyDescent="0.2">
      <c r="A2006" s="28" t="s">
        <v>8</v>
      </c>
      <c r="B2006" t="s">
        <v>30</v>
      </c>
      <c r="C2006" s="30" t="s">
        <v>54</v>
      </c>
      <c r="D2006" s="28">
        <f>YEAR(TableauFlitrage[[#This Row],[Date_d_adjudication]])</f>
        <v>2024</v>
      </c>
      <c r="E2006" s="28">
        <f t="shared" si="34"/>
        <v>4</v>
      </c>
      <c r="F2006" s="15">
        <v>45384</v>
      </c>
      <c r="G2006" s="28">
        <v>100</v>
      </c>
      <c r="H2006" s="15">
        <v>45684</v>
      </c>
      <c r="I2006">
        <v>100</v>
      </c>
      <c r="J2006">
        <v>2500</v>
      </c>
      <c r="K2006" s="28">
        <v>6</v>
      </c>
    </row>
    <row r="2007" spans="1:12" x14ac:dyDescent="0.2">
      <c r="A2007" s="28" t="s">
        <v>8</v>
      </c>
      <c r="B2007" t="s">
        <v>30</v>
      </c>
      <c r="C2007" s="30" t="s">
        <v>54</v>
      </c>
      <c r="D2007" s="28">
        <f>YEAR(TableauFlitrage[[#This Row],[Date_d_adjudication]])</f>
        <v>2024</v>
      </c>
      <c r="E2007" s="28">
        <f t="shared" si="34"/>
        <v>4</v>
      </c>
      <c r="F2007" s="15">
        <v>45384</v>
      </c>
      <c r="G2007" s="28">
        <v>100</v>
      </c>
      <c r="H2007" s="15">
        <v>45559</v>
      </c>
      <c r="I2007">
        <v>28.57</v>
      </c>
      <c r="J2007">
        <v>7000</v>
      </c>
      <c r="K2007" s="28">
        <v>6</v>
      </c>
    </row>
    <row r="2008" spans="1:12" x14ac:dyDescent="0.2">
      <c r="A2008" s="28" t="s">
        <v>8</v>
      </c>
      <c r="B2008" t="s">
        <v>30</v>
      </c>
      <c r="C2008" s="30" t="s">
        <v>54</v>
      </c>
      <c r="D2008" s="28">
        <f>YEAR(TableauFlitrage[[#This Row],[Date_d_adjudication]])</f>
        <v>2024</v>
      </c>
      <c r="E2008" s="28">
        <f t="shared" si="34"/>
        <v>4</v>
      </c>
      <c r="F2008" s="15">
        <v>45384</v>
      </c>
      <c r="G2008" s="28">
        <v>100</v>
      </c>
      <c r="H2008" s="15">
        <v>45712</v>
      </c>
      <c r="I2008">
        <v>100</v>
      </c>
      <c r="J2008">
        <v>4500</v>
      </c>
      <c r="K2008" s="28">
        <v>6</v>
      </c>
    </row>
    <row r="2009" spans="1:12" x14ac:dyDescent="0.2">
      <c r="A2009" s="28" t="s">
        <v>8</v>
      </c>
      <c r="B2009" t="s">
        <v>30</v>
      </c>
      <c r="C2009" s="30" t="s">
        <v>54</v>
      </c>
      <c r="D2009" s="28">
        <f>YEAR(TableauFlitrage[[#This Row],[Date_d_adjudication]])</f>
        <v>2024</v>
      </c>
      <c r="E2009" s="28">
        <f t="shared" si="34"/>
        <v>4</v>
      </c>
      <c r="F2009" s="15">
        <v>45384</v>
      </c>
      <c r="G2009" s="28">
        <v>100</v>
      </c>
      <c r="H2009" s="15">
        <v>45468</v>
      </c>
      <c r="I2009">
        <v>100</v>
      </c>
      <c r="J2009">
        <v>4950</v>
      </c>
      <c r="K2009" s="28">
        <v>6</v>
      </c>
    </row>
    <row r="2010" spans="1:12" x14ac:dyDescent="0.2">
      <c r="A2010" s="28" t="s">
        <v>9</v>
      </c>
      <c r="B2010" s="2" t="s">
        <v>29</v>
      </c>
      <c r="C2010" s="30">
        <v>0.5</v>
      </c>
      <c r="D2010" s="28">
        <f>YEAR(TableauFlitrage[[#This Row],[Date_d_adjudication]])</f>
        <v>2024</v>
      </c>
      <c r="E2010" s="28">
        <f t="shared" si="34"/>
        <v>4</v>
      </c>
      <c r="F2010" s="15">
        <v>45385</v>
      </c>
      <c r="G2010" s="28">
        <v>96.814187000000004</v>
      </c>
      <c r="H2010" s="15">
        <v>45569</v>
      </c>
      <c r="I2010">
        <v>82.546700000000001</v>
      </c>
      <c r="J2010">
        <v>7500</v>
      </c>
      <c r="K2010" s="28">
        <v>6.5090000000000003</v>
      </c>
    </row>
    <row r="2011" spans="1:12" x14ac:dyDescent="0.2">
      <c r="A2011" s="28" t="s">
        <v>8</v>
      </c>
      <c r="B2011" s="2" t="s">
        <v>29</v>
      </c>
      <c r="C2011" s="30">
        <v>0.25</v>
      </c>
      <c r="D2011" s="28">
        <f>YEAR(TableauFlitrage[[#This Row],[Date_d_adjudication]])</f>
        <v>2024</v>
      </c>
      <c r="E2011" s="28">
        <f t="shared" si="34"/>
        <v>4</v>
      </c>
      <c r="F2011" s="15">
        <v>45391</v>
      </c>
      <c r="G2011" s="28">
        <v>98.427000000000007</v>
      </c>
      <c r="H2011" s="15">
        <v>45484</v>
      </c>
      <c r="I2011">
        <v>87.16</v>
      </c>
      <c r="J2011">
        <v>15000</v>
      </c>
      <c r="K2011" s="28">
        <v>6.2225000000000001</v>
      </c>
    </row>
    <row r="2012" spans="1:12" x14ac:dyDescent="0.2">
      <c r="A2012" s="28" t="s">
        <v>8</v>
      </c>
      <c r="B2012" s="2" t="s">
        <v>29</v>
      </c>
      <c r="C2012" s="30">
        <v>1</v>
      </c>
      <c r="D2012" s="28">
        <f>YEAR(TableauFlitrage[[#This Row],[Date_d_adjudication]])</f>
        <v>2024</v>
      </c>
      <c r="E2012" s="28">
        <f t="shared" si="34"/>
        <v>4</v>
      </c>
      <c r="F2012" s="15">
        <v>45391</v>
      </c>
      <c r="G2012" s="28">
        <v>93.273595</v>
      </c>
      <c r="H2012" s="15">
        <v>45757</v>
      </c>
      <c r="I2012">
        <v>70.366699999999994</v>
      </c>
      <c r="J2012">
        <v>15000</v>
      </c>
      <c r="K2012" s="28">
        <v>6.6524999999999999</v>
      </c>
    </row>
    <row r="2013" spans="1:12" x14ac:dyDescent="0.2">
      <c r="A2013" s="28" t="s">
        <v>8</v>
      </c>
      <c r="B2013" t="s">
        <v>30</v>
      </c>
      <c r="C2013" s="30" t="s">
        <v>53</v>
      </c>
      <c r="D2013" s="28">
        <f>YEAR(TableauFlitrage[[#This Row],[Date_d_adjudication]])</f>
        <v>2024</v>
      </c>
      <c r="E2013" s="28">
        <f t="shared" si="34"/>
        <v>4</v>
      </c>
      <c r="F2013" s="15">
        <v>45391</v>
      </c>
      <c r="G2013" s="28">
        <v>92.120900000000006</v>
      </c>
      <c r="H2013" s="15">
        <v>46123</v>
      </c>
      <c r="I2013">
        <v>83.863299999999995</v>
      </c>
      <c r="J2013">
        <v>15000</v>
      </c>
      <c r="K2013" s="28">
        <v>5.4</v>
      </c>
      <c r="L2013">
        <v>9.84</v>
      </c>
    </row>
    <row r="2014" spans="1:12" x14ac:dyDescent="0.2">
      <c r="A2014" s="28" t="s">
        <v>11</v>
      </c>
      <c r="B2014" t="s">
        <v>30</v>
      </c>
      <c r="C2014" s="30" t="s">
        <v>53</v>
      </c>
      <c r="D2014" s="28">
        <f>YEAR(TableauFlitrage[[#This Row],[Date_d_adjudication]])</f>
        <v>2024</v>
      </c>
      <c r="E2014" s="28">
        <f t="shared" si="34"/>
        <v>4</v>
      </c>
      <c r="F2014" s="15">
        <v>45392</v>
      </c>
      <c r="G2014" s="28">
        <v>90.618899999999996</v>
      </c>
      <c r="H2014" s="15">
        <v>46124</v>
      </c>
      <c r="I2014">
        <v>66.984099999999998</v>
      </c>
      <c r="J2014">
        <v>10000</v>
      </c>
      <c r="K2014" s="28">
        <v>6</v>
      </c>
      <c r="L2014">
        <v>11.38</v>
      </c>
    </row>
    <row r="2015" spans="1:12" x14ac:dyDescent="0.2">
      <c r="A2015" s="28" t="s">
        <v>9</v>
      </c>
      <c r="B2015" t="s">
        <v>30</v>
      </c>
      <c r="C2015" s="30" t="s">
        <v>56</v>
      </c>
      <c r="D2015" s="28">
        <f>YEAR(TableauFlitrage[[#This Row],[Date_d_adjudication]])</f>
        <v>2024</v>
      </c>
      <c r="E2015" s="28">
        <f t="shared" si="34"/>
        <v>4</v>
      </c>
      <c r="F2015" s="15">
        <v>45392</v>
      </c>
      <c r="G2015" s="28">
        <v>95.404399999999995</v>
      </c>
      <c r="H2015" s="15">
        <v>46526</v>
      </c>
      <c r="I2015">
        <v>42.43</v>
      </c>
      <c r="J2015">
        <v>10000</v>
      </c>
      <c r="K2015" s="28">
        <v>5.75</v>
      </c>
      <c r="L2015">
        <v>7.49</v>
      </c>
    </row>
    <row r="2016" spans="1:12" x14ac:dyDescent="0.2">
      <c r="A2016" s="28" t="s">
        <v>7</v>
      </c>
      <c r="B2016" s="2" t="s">
        <v>29</v>
      </c>
      <c r="C2016" s="30">
        <v>0.5</v>
      </c>
      <c r="D2016" s="28">
        <f>YEAR(TableauFlitrage[[#This Row],[Date_d_adjudication]])</f>
        <v>2024</v>
      </c>
      <c r="E2016" s="28">
        <f t="shared" si="34"/>
        <v>4</v>
      </c>
      <c r="F2016" s="15">
        <v>45397</v>
      </c>
      <c r="G2016" s="28">
        <v>96.787345999999999</v>
      </c>
      <c r="H2016" s="15">
        <v>45581</v>
      </c>
      <c r="I2016">
        <v>78.125</v>
      </c>
      <c r="J2016">
        <v>40000</v>
      </c>
      <c r="K2016" s="28">
        <v>6.3547000000000002</v>
      </c>
    </row>
    <row r="2017" spans="1:12" x14ac:dyDescent="0.2">
      <c r="A2017" s="28" t="s">
        <v>7</v>
      </c>
      <c r="B2017" s="2" t="s">
        <v>29</v>
      </c>
      <c r="C2017" s="30">
        <v>1</v>
      </c>
      <c r="D2017" s="28">
        <f>YEAR(TableauFlitrage[[#This Row],[Date_d_adjudication]])</f>
        <v>2024</v>
      </c>
      <c r="E2017" s="28">
        <f t="shared" si="34"/>
        <v>4</v>
      </c>
      <c r="F2017" s="15">
        <v>45397</v>
      </c>
      <c r="G2017" s="28">
        <v>93.427778000000004</v>
      </c>
      <c r="H2017" s="15">
        <v>45763</v>
      </c>
      <c r="I2017">
        <v>80.88</v>
      </c>
      <c r="J2017">
        <v>25000</v>
      </c>
      <c r="K2017" s="28">
        <v>6.5</v>
      </c>
    </row>
    <row r="2018" spans="1:12" x14ac:dyDescent="0.2">
      <c r="A2018" s="28" t="s">
        <v>8</v>
      </c>
      <c r="B2018" s="2" t="s">
        <v>29</v>
      </c>
      <c r="C2018" s="30">
        <v>0.25</v>
      </c>
      <c r="D2018" s="28">
        <f>YEAR(TableauFlitrage[[#This Row],[Date_d_adjudication]])</f>
        <v>2024</v>
      </c>
      <c r="E2018" s="28">
        <f t="shared" si="34"/>
        <v>4</v>
      </c>
      <c r="F2018" s="15">
        <v>45398</v>
      </c>
      <c r="G2018" s="28">
        <v>98.445527999999996</v>
      </c>
      <c r="H2018" s="15">
        <v>45491</v>
      </c>
      <c r="I2018">
        <v>60.25</v>
      </c>
      <c r="J2018">
        <v>10000</v>
      </c>
      <c r="K2018" s="28">
        <v>6.1496000000000004</v>
      </c>
    </row>
    <row r="2019" spans="1:12" x14ac:dyDescent="0.2">
      <c r="A2019" s="28" t="s">
        <v>8</v>
      </c>
      <c r="B2019" s="2" t="s">
        <v>29</v>
      </c>
      <c r="C2019" s="30">
        <v>0.5</v>
      </c>
      <c r="D2019" s="28">
        <f>YEAR(TableauFlitrage[[#This Row],[Date_d_adjudication]])</f>
        <v>2024</v>
      </c>
      <c r="E2019" s="28">
        <f t="shared" si="34"/>
        <v>4</v>
      </c>
      <c r="F2019" s="15">
        <v>45398</v>
      </c>
      <c r="G2019" s="28">
        <v>96.670795999999996</v>
      </c>
      <c r="H2019" s="15">
        <v>45582</v>
      </c>
      <c r="I2019">
        <v>47.22</v>
      </c>
      <c r="J2019">
        <v>15000</v>
      </c>
      <c r="K2019" s="28">
        <v>6.5852000000000004</v>
      </c>
    </row>
    <row r="2020" spans="1:12" x14ac:dyDescent="0.2">
      <c r="A2020" s="28" t="s">
        <v>8</v>
      </c>
      <c r="B2020" s="2" t="s">
        <v>29</v>
      </c>
      <c r="C2020" s="30">
        <v>1</v>
      </c>
      <c r="D2020" s="28">
        <f>YEAR(TableauFlitrage[[#This Row],[Date_d_adjudication]])</f>
        <v>2024</v>
      </c>
      <c r="E2020" s="28">
        <f t="shared" si="34"/>
        <v>4</v>
      </c>
      <c r="F2020" s="15">
        <v>45398</v>
      </c>
      <c r="G2020" s="28">
        <v>92.928856999999994</v>
      </c>
      <c r="H2020" s="15">
        <v>45764</v>
      </c>
      <c r="I2020">
        <v>34.29</v>
      </c>
      <c r="J2020">
        <v>20000</v>
      </c>
      <c r="K2020" s="28">
        <v>6.9934000000000003</v>
      </c>
    </row>
    <row r="2021" spans="1:12" x14ac:dyDescent="0.2">
      <c r="A2021" s="28" t="s">
        <v>8</v>
      </c>
      <c r="B2021" t="s">
        <v>30</v>
      </c>
      <c r="C2021" s="30" t="s">
        <v>54</v>
      </c>
      <c r="D2021" s="28">
        <f>YEAR(TableauFlitrage[[#This Row],[Date_d_adjudication]])</f>
        <v>2024</v>
      </c>
      <c r="E2021" s="28">
        <f t="shared" si="34"/>
        <v>4</v>
      </c>
      <c r="F2021" s="15">
        <v>45398</v>
      </c>
      <c r="G2021" s="28">
        <v>93.241299999999995</v>
      </c>
      <c r="H2021" s="15">
        <v>46419</v>
      </c>
      <c r="I2021">
        <v>65.713999999999999</v>
      </c>
      <c r="J2021">
        <v>5000</v>
      </c>
      <c r="K2021" s="28">
        <v>5.9</v>
      </c>
      <c r="L2021">
        <v>8.5</v>
      </c>
    </row>
    <row r="2022" spans="1:12" x14ac:dyDescent="0.2">
      <c r="A2022" s="28" t="s">
        <v>9</v>
      </c>
      <c r="B2022" s="2" t="s">
        <v>29</v>
      </c>
      <c r="C2022" s="30">
        <v>0.5</v>
      </c>
      <c r="D2022" s="28">
        <f>YEAR(TableauFlitrage[[#This Row],[Date_d_adjudication]])</f>
        <v>2024</v>
      </c>
      <c r="E2022" s="28">
        <f t="shared" si="34"/>
        <v>4</v>
      </c>
      <c r="F2022" s="15">
        <v>45399</v>
      </c>
      <c r="G2022" s="28">
        <v>96.794766999999993</v>
      </c>
      <c r="H2022" s="15">
        <v>45583</v>
      </c>
      <c r="I2022">
        <v>77.833299999999994</v>
      </c>
      <c r="J2022">
        <v>12000</v>
      </c>
      <c r="K2022" s="28">
        <v>6.34</v>
      </c>
    </row>
    <row r="2023" spans="1:12" x14ac:dyDescent="0.2">
      <c r="A2023" s="28" t="s">
        <v>11</v>
      </c>
      <c r="B2023" t="s">
        <v>30</v>
      </c>
      <c r="C2023" s="30" t="s">
        <v>53</v>
      </c>
      <c r="D2023" s="28">
        <f>YEAR(TableauFlitrage[[#This Row],[Date_d_adjudication]])</f>
        <v>2024</v>
      </c>
      <c r="E2023" s="28">
        <f t="shared" si="34"/>
        <v>4</v>
      </c>
      <c r="F2023" s="15">
        <v>45399</v>
      </c>
      <c r="G2023" s="28">
        <v>91.193700000000007</v>
      </c>
      <c r="H2023" s="15">
        <v>46131</v>
      </c>
      <c r="I2023">
        <v>35.556100000000001</v>
      </c>
      <c r="J2023">
        <v>20000</v>
      </c>
      <c r="K2023" s="28">
        <v>6</v>
      </c>
      <c r="L2023">
        <v>11.03</v>
      </c>
    </row>
    <row r="2024" spans="1:12" x14ac:dyDescent="0.2">
      <c r="A2024" s="28" t="s">
        <v>7</v>
      </c>
      <c r="B2024" s="2" t="s">
        <v>29</v>
      </c>
      <c r="C2024" s="30">
        <v>0.5</v>
      </c>
      <c r="D2024" s="28">
        <f>YEAR(TableauFlitrage[[#This Row],[Date_d_adjudication]])</f>
        <v>2024</v>
      </c>
      <c r="E2024" s="28">
        <f t="shared" si="34"/>
        <v>4</v>
      </c>
      <c r="F2024" s="15">
        <v>45404</v>
      </c>
      <c r="G2024" s="28">
        <v>96.747480999999993</v>
      </c>
      <c r="H2024" s="15">
        <v>45588</v>
      </c>
      <c r="I2024">
        <v>50.166699999999999</v>
      </c>
      <c r="J2024">
        <v>15000</v>
      </c>
      <c r="K2024" s="28">
        <v>6.6497999999999999</v>
      </c>
    </row>
    <row r="2025" spans="1:12" x14ac:dyDescent="0.2">
      <c r="A2025" s="28" t="s">
        <v>8</v>
      </c>
      <c r="B2025" s="2" t="s">
        <v>29</v>
      </c>
      <c r="C2025" s="30">
        <v>0.5</v>
      </c>
      <c r="D2025" s="28">
        <f>YEAR(TableauFlitrage[[#This Row],[Date_d_adjudication]])</f>
        <v>2024</v>
      </c>
      <c r="E2025" s="28">
        <f t="shared" si="34"/>
        <v>4</v>
      </c>
      <c r="F2025" s="15">
        <v>45405</v>
      </c>
      <c r="G2025" s="28">
        <v>99.747221999999994</v>
      </c>
      <c r="H2025" s="15">
        <v>45421</v>
      </c>
      <c r="I2025">
        <v>100</v>
      </c>
      <c r="J2025">
        <v>3000</v>
      </c>
      <c r="K2025" s="28">
        <v>6.5164999999999997</v>
      </c>
    </row>
    <row r="2026" spans="1:12" x14ac:dyDescent="0.2">
      <c r="A2026" s="28" t="s">
        <v>8</v>
      </c>
      <c r="B2026" s="2" t="s">
        <v>29</v>
      </c>
      <c r="C2026" s="30">
        <v>0.25</v>
      </c>
      <c r="D2026" s="28">
        <f>YEAR(TableauFlitrage[[#This Row],[Date_d_adjudication]])</f>
        <v>2024</v>
      </c>
      <c r="E2026" s="28">
        <f t="shared" si="34"/>
        <v>4</v>
      </c>
      <c r="F2026" s="15">
        <v>45405</v>
      </c>
      <c r="G2026" s="28">
        <v>98.393901</v>
      </c>
      <c r="H2026" s="15">
        <v>45498</v>
      </c>
      <c r="I2026">
        <v>186.89330000000001</v>
      </c>
      <c r="J2026">
        <v>15000</v>
      </c>
      <c r="K2026" s="28">
        <v>6.4574999999999996</v>
      </c>
    </row>
    <row r="2027" spans="1:12" x14ac:dyDescent="0.2">
      <c r="A2027" s="28" t="s">
        <v>8</v>
      </c>
      <c r="B2027" s="2" t="s">
        <v>29</v>
      </c>
      <c r="C2027" s="30">
        <v>0.5</v>
      </c>
      <c r="D2027" s="28">
        <f>YEAR(TableauFlitrage[[#This Row],[Date_d_adjudication]])</f>
        <v>2024</v>
      </c>
      <c r="E2027" s="28">
        <f t="shared" si="34"/>
        <v>4</v>
      </c>
      <c r="F2027" s="15">
        <v>45405</v>
      </c>
      <c r="G2027" s="28">
        <v>96.715102999999999</v>
      </c>
      <c r="H2027" s="15">
        <v>45589</v>
      </c>
      <c r="I2027">
        <v>61.877800000000001</v>
      </c>
      <c r="J2027">
        <v>18000</v>
      </c>
      <c r="K2027" s="28">
        <v>6.7183000000000002</v>
      </c>
    </row>
    <row r="2028" spans="1:12" x14ac:dyDescent="0.2">
      <c r="A2028" s="28" t="s">
        <v>8</v>
      </c>
      <c r="B2028" t="s">
        <v>30</v>
      </c>
      <c r="C2028" s="30" t="s">
        <v>53</v>
      </c>
      <c r="D2028" s="28">
        <f>YEAR(TableauFlitrage[[#This Row],[Date_d_adjudication]])</f>
        <v>2024</v>
      </c>
      <c r="E2028" s="28">
        <f t="shared" si="34"/>
        <v>4</v>
      </c>
      <c r="F2028" s="15">
        <v>45405</v>
      </c>
      <c r="G2028" s="28">
        <v>92.974100000000007</v>
      </c>
      <c r="H2028" s="15">
        <v>46137</v>
      </c>
      <c r="I2028">
        <v>23.6111</v>
      </c>
      <c r="J2028">
        <v>18000</v>
      </c>
      <c r="K2028" s="28">
        <v>5.4</v>
      </c>
      <c r="L2028">
        <v>9.33</v>
      </c>
    </row>
    <row r="2029" spans="1:12" x14ac:dyDescent="0.2">
      <c r="A2029" s="28" t="s">
        <v>8</v>
      </c>
      <c r="B2029" t="s">
        <v>30</v>
      </c>
      <c r="C2029" s="30" t="s">
        <v>56</v>
      </c>
      <c r="D2029" s="28">
        <f>YEAR(TableauFlitrage[[#This Row],[Date_d_adjudication]])</f>
        <v>2024</v>
      </c>
      <c r="E2029" s="28">
        <f t="shared" si="34"/>
        <v>4</v>
      </c>
      <c r="F2029" s="15">
        <v>45405</v>
      </c>
      <c r="G2029" s="28">
        <v>91.034999999999997</v>
      </c>
      <c r="H2029" s="15">
        <v>46868</v>
      </c>
      <c r="I2029">
        <v>60.1</v>
      </c>
      <c r="J2029">
        <v>5000</v>
      </c>
      <c r="K2029" s="28">
        <v>6.2</v>
      </c>
      <c r="L2029">
        <v>8.91</v>
      </c>
    </row>
    <row r="2030" spans="1:12" x14ac:dyDescent="0.2">
      <c r="A2030" s="28" t="s">
        <v>9</v>
      </c>
      <c r="B2030" s="2" t="s">
        <v>29</v>
      </c>
      <c r="C2030" s="30">
        <v>0.5</v>
      </c>
      <c r="D2030" s="28">
        <f>YEAR(TableauFlitrage[[#This Row],[Date_d_adjudication]])</f>
        <v>2024</v>
      </c>
      <c r="E2030" s="28">
        <f t="shared" si="34"/>
        <v>4</v>
      </c>
      <c r="F2030" s="15">
        <v>45406</v>
      </c>
      <c r="G2030" s="28">
        <v>96.727699999999999</v>
      </c>
      <c r="H2030" s="15">
        <v>45590</v>
      </c>
      <c r="I2030">
        <v>43.833300000000001</v>
      </c>
      <c r="J2030">
        <v>12000</v>
      </c>
      <c r="K2030" s="28">
        <v>6.6909999999999998</v>
      </c>
    </row>
    <row r="2031" spans="1:12" x14ac:dyDescent="0.2">
      <c r="A2031" s="28" t="s">
        <v>9</v>
      </c>
      <c r="B2031" t="s">
        <v>30</v>
      </c>
      <c r="C2031" s="30" t="s">
        <v>55</v>
      </c>
      <c r="D2031" s="28">
        <f>YEAR(TableauFlitrage[[#This Row],[Date_d_adjudication]])</f>
        <v>2024</v>
      </c>
      <c r="E2031" s="28">
        <f t="shared" si="34"/>
        <v>4</v>
      </c>
      <c r="F2031" s="15">
        <v>45406</v>
      </c>
      <c r="G2031" s="28">
        <v>91.470799999999997</v>
      </c>
      <c r="H2031" s="15">
        <v>46850</v>
      </c>
      <c r="I2031">
        <v>51.946300000000001</v>
      </c>
      <c r="J2031">
        <v>10000</v>
      </c>
      <c r="K2031" s="28">
        <v>6.75</v>
      </c>
      <c r="L2031">
        <v>9.36</v>
      </c>
    </row>
    <row r="2032" spans="1:12" x14ac:dyDescent="0.2">
      <c r="A2032" s="28" t="s">
        <v>11</v>
      </c>
      <c r="B2032" t="s">
        <v>30</v>
      </c>
      <c r="C2032" s="30" t="s">
        <v>53</v>
      </c>
      <c r="D2032" s="28">
        <f>YEAR(TableauFlitrage[[#This Row],[Date_d_adjudication]])</f>
        <v>2024</v>
      </c>
      <c r="E2032" s="28">
        <f t="shared" si="34"/>
        <v>4</v>
      </c>
      <c r="F2032" s="15">
        <v>45406</v>
      </c>
      <c r="G2032" s="28">
        <v>90.091800000000006</v>
      </c>
      <c r="H2032" s="15">
        <v>46138</v>
      </c>
      <c r="I2032">
        <v>82.25</v>
      </c>
      <c r="J2032">
        <v>10000</v>
      </c>
      <c r="K2032" s="28">
        <v>6</v>
      </c>
      <c r="L2032">
        <v>11.7</v>
      </c>
    </row>
    <row r="2033" spans="1:12" x14ac:dyDescent="0.2">
      <c r="A2033" s="28" t="s">
        <v>7</v>
      </c>
      <c r="B2033" s="2" t="s">
        <v>29</v>
      </c>
      <c r="C2033" s="30">
        <v>0.5</v>
      </c>
      <c r="D2033" s="28">
        <f>YEAR(TableauFlitrage[[#This Row],[Date_d_adjudication]])</f>
        <v>2024</v>
      </c>
      <c r="E2033" s="28">
        <f t="shared" si="34"/>
        <v>4</v>
      </c>
      <c r="F2033" s="15">
        <v>45411</v>
      </c>
      <c r="G2033" s="28">
        <v>96.713888999999995</v>
      </c>
      <c r="H2033" s="15">
        <v>45595</v>
      </c>
      <c r="I2033">
        <v>35</v>
      </c>
      <c r="J2033">
        <v>10000</v>
      </c>
      <c r="K2033" s="28">
        <v>6.7209000000000003</v>
      </c>
    </row>
    <row r="2034" spans="1:12" x14ac:dyDescent="0.2">
      <c r="A2034" s="28" t="s">
        <v>19</v>
      </c>
      <c r="B2034" s="2" t="s">
        <v>29</v>
      </c>
      <c r="C2034" s="30">
        <v>1</v>
      </c>
      <c r="D2034" s="28">
        <f>YEAR(TableauFlitrage[[#This Row],[Date_d_adjudication]])</f>
        <v>2024</v>
      </c>
      <c r="E2034" s="28">
        <f t="shared" si="34"/>
        <v>4</v>
      </c>
      <c r="F2034" s="15">
        <v>45411</v>
      </c>
      <c r="G2034" s="28">
        <v>92.922222000000005</v>
      </c>
      <c r="H2034" s="15">
        <v>45777</v>
      </c>
      <c r="I2034">
        <v>100</v>
      </c>
      <c r="J2034">
        <v>7500</v>
      </c>
      <c r="K2034" s="28">
        <v>7.5331999999999999</v>
      </c>
    </row>
    <row r="2035" spans="1:12" x14ac:dyDescent="0.2">
      <c r="A2035" s="28" t="s">
        <v>14</v>
      </c>
      <c r="B2035" t="s">
        <v>30</v>
      </c>
      <c r="C2035" s="30" t="s">
        <v>54</v>
      </c>
      <c r="D2035" s="28">
        <f>YEAR(TableauFlitrage[[#This Row],[Date_d_adjudication]])</f>
        <v>2024</v>
      </c>
      <c r="E2035" s="28">
        <f t="shared" si="34"/>
        <v>4</v>
      </c>
      <c r="F2035" s="15">
        <v>45411</v>
      </c>
      <c r="G2035" s="28">
        <v>92</v>
      </c>
      <c r="H2035" s="15">
        <v>46508</v>
      </c>
      <c r="I2035">
        <v>100</v>
      </c>
      <c r="J2035">
        <v>15000</v>
      </c>
      <c r="K2035" s="28">
        <v>6.25</v>
      </c>
      <c r="L2035">
        <v>9.3699999999999992</v>
      </c>
    </row>
    <row r="2036" spans="1:12" x14ac:dyDescent="0.2">
      <c r="A2036" s="28" t="s">
        <v>14</v>
      </c>
      <c r="B2036" t="s">
        <v>30</v>
      </c>
      <c r="C2036" s="30" t="s">
        <v>56</v>
      </c>
      <c r="D2036" s="28">
        <f>YEAR(TableauFlitrage[[#This Row],[Date_d_adjudication]])</f>
        <v>2024</v>
      </c>
      <c r="E2036" s="28">
        <f t="shared" si="34"/>
        <v>4</v>
      </c>
      <c r="F2036" s="15">
        <v>45411</v>
      </c>
      <c r="G2036" s="28">
        <v>91</v>
      </c>
      <c r="H2036" s="15">
        <v>46874</v>
      </c>
      <c r="I2036">
        <v>100</v>
      </c>
      <c r="J2036">
        <v>12500</v>
      </c>
      <c r="K2036" s="28">
        <v>6.75</v>
      </c>
      <c r="L2036">
        <v>9.51</v>
      </c>
    </row>
    <row r="2037" spans="1:12" x14ac:dyDescent="0.2">
      <c r="A2037" s="28" t="s">
        <v>14</v>
      </c>
      <c r="B2037" t="s">
        <v>30</v>
      </c>
      <c r="C2037" s="30" t="s">
        <v>55</v>
      </c>
      <c r="D2037" s="28">
        <f>YEAR(TableauFlitrage[[#This Row],[Date_d_adjudication]])</f>
        <v>2024</v>
      </c>
      <c r="E2037" s="28">
        <f t="shared" si="34"/>
        <v>4</v>
      </c>
      <c r="F2037" s="15">
        <v>45411</v>
      </c>
      <c r="G2037" s="28">
        <v>90</v>
      </c>
      <c r="H2037" s="15">
        <v>47239</v>
      </c>
      <c r="I2037">
        <v>100</v>
      </c>
      <c r="J2037">
        <v>7500</v>
      </c>
      <c r="K2037" s="28">
        <v>7</v>
      </c>
      <c r="L2037">
        <v>9.56</v>
      </c>
    </row>
    <row r="2038" spans="1:12" x14ac:dyDescent="0.2">
      <c r="A2038" s="28" t="s">
        <v>14</v>
      </c>
      <c r="B2038" t="s">
        <v>30</v>
      </c>
      <c r="C2038" s="30" t="s">
        <v>58</v>
      </c>
      <c r="D2038" s="28">
        <f>YEAR(TableauFlitrage[[#This Row],[Date_d_adjudication]])</f>
        <v>2024</v>
      </c>
      <c r="E2038" s="28">
        <f t="shared" si="34"/>
        <v>4</v>
      </c>
      <c r="F2038" s="15">
        <v>45411</v>
      </c>
      <c r="G2038" s="28">
        <v>88</v>
      </c>
      <c r="H2038" s="15">
        <v>47969</v>
      </c>
      <c r="I2038">
        <v>100</v>
      </c>
      <c r="J2038">
        <v>7500</v>
      </c>
      <c r="K2038" s="28">
        <v>7.5</v>
      </c>
      <c r="L2038">
        <v>9.92</v>
      </c>
    </row>
    <row r="2039" spans="1:12" x14ac:dyDescent="0.2">
      <c r="A2039" s="28" t="s">
        <v>8</v>
      </c>
      <c r="B2039" s="2" t="s">
        <v>29</v>
      </c>
      <c r="C2039" s="30">
        <v>0.25</v>
      </c>
      <c r="D2039" s="28">
        <f>YEAR(TableauFlitrage[[#This Row],[Date_d_adjudication]])</f>
        <v>2024</v>
      </c>
      <c r="E2039" s="28">
        <f t="shared" si="34"/>
        <v>4</v>
      </c>
      <c r="F2039" s="15">
        <v>45412</v>
      </c>
      <c r="G2039" s="28">
        <v>98.342374000000007</v>
      </c>
      <c r="H2039" s="15">
        <v>45505</v>
      </c>
      <c r="I2039">
        <v>71.156000000000006</v>
      </c>
      <c r="J2039">
        <v>25000</v>
      </c>
      <c r="K2039" s="28">
        <v>6.7</v>
      </c>
    </row>
    <row r="2040" spans="1:12" x14ac:dyDescent="0.2">
      <c r="A2040" s="28" t="s">
        <v>8</v>
      </c>
      <c r="B2040" s="2" t="s">
        <v>29</v>
      </c>
      <c r="C2040" s="30">
        <v>0.5</v>
      </c>
      <c r="D2040" s="28">
        <f>YEAR(TableauFlitrage[[#This Row],[Date_d_adjudication]])</f>
        <v>2024</v>
      </c>
      <c r="E2040" s="28">
        <f t="shared" si="34"/>
        <v>4</v>
      </c>
      <c r="F2040" s="15">
        <v>45412</v>
      </c>
      <c r="G2040" s="28">
        <v>96.966667000000001</v>
      </c>
      <c r="H2040" s="15">
        <v>45596</v>
      </c>
      <c r="I2040">
        <v>3.6320000000000001</v>
      </c>
      <c r="J2040">
        <v>25000</v>
      </c>
      <c r="K2040" s="28">
        <v>6.1877000000000004</v>
      </c>
    </row>
    <row r="2041" spans="1:12" x14ac:dyDescent="0.2">
      <c r="A2041" s="28" t="s">
        <v>8</v>
      </c>
      <c r="B2041" s="2" t="s">
        <v>29</v>
      </c>
      <c r="C2041" s="30">
        <v>1</v>
      </c>
      <c r="D2041" s="28">
        <f>YEAR(TableauFlitrage[[#This Row],[Date_d_adjudication]])</f>
        <v>2024</v>
      </c>
      <c r="E2041" s="28">
        <f t="shared" si="34"/>
        <v>4</v>
      </c>
      <c r="F2041" s="15">
        <v>45412</v>
      </c>
      <c r="G2041" s="28">
        <v>93.190641999999997</v>
      </c>
      <c r="H2041" s="15">
        <v>45778</v>
      </c>
      <c r="I2041">
        <v>8.8559999999999999</v>
      </c>
      <c r="J2041">
        <v>25000</v>
      </c>
      <c r="K2041" s="28">
        <v>7.2266000000000004</v>
      </c>
    </row>
    <row r="2042" spans="1:12" x14ac:dyDescent="0.2">
      <c r="A2042" s="28" t="s">
        <v>9</v>
      </c>
      <c r="B2042" s="2" t="s">
        <v>29</v>
      </c>
      <c r="C2042" s="30">
        <v>1</v>
      </c>
      <c r="D2042" s="28">
        <f>YEAR(TableauFlitrage[[#This Row],[Date_d_adjudication]])</f>
        <v>2024</v>
      </c>
      <c r="E2042" s="28">
        <f t="shared" si="34"/>
        <v>5</v>
      </c>
      <c r="F2042" s="15">
        <v>45413</v>
      </c>
      <c r="G2042" s="28">
        <v>93.450768999999994</v>
      </c>
      <c r="H2042" s="15">
        <v>45779</v>
      </c>
      <c r="I2042">
        <v>35.244399999999999</v>
      </c>
      <c r="J2042">
        <v>9000</v>
      </c>
      <c r="K2042" s="28">
        <v>6.9311999999999996</v>
      </c>
    </row>
    <row r="2043" spans="1:12" x14ac:dyDescent="0.2">
      <c r="A2043" s="28" t="s">
        <v>9</v>
      </c>
      <c r="B2043" t="s">
        <v>30</v>
      </c>
      <c r="C2043" s="30" t="s">
        <v>56</v>
      </c>
      <c r="D2043" s="28">
        <f>YEAR(TableauFlitrage[[#This Row],[Date_d_adjudication]])</f>
        <v>2024</v>
      </c>
      <c r="E2043" s="28">
        <f t="shared" si="34"/>
        <v>5</v>
      </c>
      <c r="F2043" s="15">
        <v>45413</v>
      </c>
      <c r="G2043" s="28">
        <v>95.524799999999999</v>
      </c>
      <c r="H2043" s="15">
        <v>46526</v>
      </c>
      <c r="I2043">
        <v>91.6</v>
      </c>
      <c r="J2043">
        <v>7500</v>
      </c>
      <c r="K2043" s="28">
        <v>5.75</v>
      </c>
      <c r="L2043">
        <v>7.44</v>
      </c>
    </row>
    <row r="2044" spans="1:12" x14ac:dyDescent="0.2">
      <c r="A2044" s="28" t="s">
        <v>11</v>
      </c>
      <c r="B2044" t="s">
        <v>30</v>
      </c>
      <c r="C2044" s="30" t="s">
        <v>53</v>
      </c>
      <c r="D2044" s="28">
        <f>YEAR(TableauFlitrage[[#This Row],[Date_d_adjudication]])</f>
        <v>2024</v>
      </c>
      <c r="E2044" s="28">
        <f t="shared" si="34"/>
        <v>5</v>
      </c>
      <c r="F2044" s="15">
        <v>45413</v>
      </c>
      <c r="G2044" s="28">
        <v>90.026399999999995</v>
      </c>
      <c r="H2044" s="15">
        <v>46145</v>
      </c>
      <c r="I2044">
        <v>55.938499999999998</v>
      </c>
      <c r="J2044">
        <v>20000</v>
      </c>
      <c r="K2044" s="28">
        <v>6</v>
      </c>
      <c r="L2044">
        <v>11.74</v>
      </c>
    </row>
    <row r="2045" spans="1:12" x14ac:dyDescent="0.2">
      <c r="A2045" s="28" t="s">
        <v>14</v>
      </c>
      <c r="B2045" t="s">
        <v>30</v>
      </c>
      <c r="C2045" s="30" t="s">
        <v>56</v>
      </c>
      <c r="D2045" s="28">
        <f>YEAR(TableauFlitrage[[#This Row],[Date_d_adjudication]])</f>
        <v>2024</v>
      </c>
      <c r="E2045" s="28">
        <f t="shared" si="34"/>
        <v>5</v>
      </c>
      <c r="F2045" s="15">
        <v>45418</v>
      </c>
      <c r="G2045" s="28">
        <v>91.129499999999993</v>
      </c>
      <c r="H2045" s="15">
        <v>46874</v>
      </c>
      <c r="I2045">
        <v>100.16</v>
      </c>
      <c r="J2045">
        <v>7500</v>
      </c>
      <c r="K2045" s="28">
        <v>6.75</v>
      </c>
      <c r="L2045">
        <v>9.4700000000000006</v>
      </c>
    </row>
    <row r="2046" spans="1:12" x14ac:dyDescent="0.2">
      <c r="A2046" s="28" t="s">
        <v>14</v>
      </c>
      <c r="B2046" t="s">
        <v>30</v>
      </c>
      <c r="C2046" s="30" t="s">
        <v>55</v>
      </c>
      <c r="D2046" s="28">
        <f>YEAR(TableauFlitrage[[#This Row],[Date_d_adjudication]])</f>
        <v>2024</v>
      </c>
      <c r="E2046" s="28">
        <f t="shared" ref="E2046:E2094" si="35">MONTH(F2046)</f>
        <v>5</v>
      </c>
      <c r="F2046" s="15">
        <v>45418</v>
      </c>
      <c r="G2046" s="28">
        <v>90.134200000000007</v>
      </c>
      <c r="H2046" s="15">
        <v>47239</v>
      </c>
      <c r="I2046">
        <v>86</v>
      </c>
      <c r="J2046">
        <v>7500</v>
      </c>
      <c r="K2046" s="28">
        <v>7</v>
      </c>
      <c r="L2046">
        <v>9.5299999999999994</v>
      </c>
    </row>
    <row r="2047" spans="1:12" x14ac:dyDescent="0.2">
      <c r="A2047" s="28" t="s">
        <v>14</v>
      </c>
      <c r="B2047" t="s">
        <v>30</v>
      </c>
      <c r="C2047" s="30" t="s">
        <v>54</v>
      </c>
      <c r="D2047" s="28">
        <f>YEAR(TableauFlitrage[[#This Row],[Date_d_adjudication]])</f>
        <v>2024</v>
      </c>
      <c r="E2047" s="28">
        <f t="shared" si="35"/>
        <v>5</v>
      </c>
      <c r="F2047" s="15">
        <v>45418</v>
      </c>
      <c r="G2047" s="28">
        <v>92.119900000000001</v>
      </c>
      <c r="H2047" s="15">
        <v>46508</v>
      </c>
      <c r="I2047">
        <v>93.08</v>
      </c>
      <c r="J2047">
        <v>15000</v>
      </c>
      <c r="K2047" s="28">
        <v>6.25</v>
      </c>
      <c r="L2047">
        <v>9.32</v>
      </c>
    </row>
    <row r="2048" spans="1:12" x14ac:dyDescent="0.2">
      <c r="A2048" s="28" t="s">
        <v>8</v>
      </c>
      <c r="B2048" s="2" t="s">
        <v>29</v>
      </c>
      <c r="C2048" s="30">
        <v>0.25</v>
      </c>
      <c r="D2048" s="28">
        <f>YEAR(TableauFlitrage[[#This Row],[Date_d_adjudication]])</f>
        <v>2024</v>
      </c>
      <c r="E2048" s="28">
        <f t="shared" si="35"/>
        <v>5</v>
      </c>
      <c r="F2048" s="15">
        <v>45419</v>
      </c>
      <c r="G2048" s="28">
        <v>98.428754999999995</v>
      </c>
      <c r="H2048" s="15">
        <v>45512</v>
      </c>
      <c r="I2048">
        <v>64.164000000000001</v>
      </c>
      <c r="J2048">
        <v>25000</v>
      </c>
      <c r="K2048" s="28">
        <v>6.3151000000000002</v>
      </c>
    </row>
    <row r="2049" spans="1:12" x14ac:dyDescent="0.2">
      <c r="A2049" s="28" t="s">
        <v>8</v>
      </c>
      <c r="B2049" s="2" t="s">
        <v>29</v>
      </c>
      <c r="C2049" s="30">
        <v>1</v>
      </c>
      <c r="D2049" s="28">
        <f>YEAR(TableauFlitrage[[#This Row],[Date_d_adjudication]])</f>
        <v>2024</v>
      </c>
      <c r="E2049" s="28">
        <f t="shared" si="35"/>
        <v>5</v>
      </c>
      <c r="F2049" s="15">
        <v>45419</v>
      </c>
      <c r="G2049" s="28">
        <v>93.495930999999999</v>
      </c>
      <c r="H2049" s="15">
        <v>45785</v>
      </c>
      <c r="I2049">
        <v>5.94</v>
      </c>
      <c r="J2049">
        <v>20000</v>
      </c>
      <c r="K2049" s="28">
        <v>6.8800999999999997</v>
      </c>
    </row>
    <row r="2050" spans="1:12" x14ac:dyDescent="0.2">
      <c r="A2050" s="28" t="s">
        <v>10</v>
      </c>
      <c r="B2050" s="2" t="s">
        <v>29</v>
      </c>
      <c r="C2050" s="30">
        <v>1</v>
      </c>
      <c r="D2050" s="28">
        <f>YEAR(TableauFlitrage[[#This Row],[Date_d_adjudication]])</f>
        <v>2024</v>
      </c>
      <c r="E2050" s="28">
        <f t="shared" si="35"/>
        <v>5</v>
      </c>
      <c r="F2050" s="15">
        <v>45419</v>
      </c>
      <c r="G2050" s="28">
        <v>93.396739999999994</v>
      </c>
      <c r="H2050" s="15">
        <v>45785</v>
      </c>
      <c r="I2050">
        <v>85.35</v>
      </c>
      <c r="J2050">
        <v>20000</v>
      </c>
      <c r="K2050" s="28">
        <v>6.9923999999999999</v>
      </c>
    </row>
    <row r="2051" spans="1:12" x14ac:dyDescent="0.2">
      <c r="A2051" s="28" t="s">
        <v>9</v>
      </c>
      <c r="B2051" s="2" t="s">
        <v>29</v>
      </c>
      <c r="C2051" s="30">
        <v>0.5</v>
      </c>
      <c r="D2051" s="28">
        <f>YEAR(TableauFlitrage[[#This Row],[Date_d_adjudication]])</f>
        <v>2024</v>
      </c>
      <c r="E2051" s="28">
        <f t="shared" si="35"/>
        <v>5</v>
      </c>
      <c r="F2051" s="15">
        <v>45420</v>
      </c>
      <c r="G2051" s="28">
        <v>96.750135999999998</v>
      </c>
      <c r="H2051" s="15">
        <v>45604</v>
      </c>
      <c r="I2051">
        <v>72.959999999999994</v>
      </c>
      <c r="J2051">
        <v>10000</v>
      </c>
      <c r="K2051" s="28">
        <v>6.6441999999999997</v>
      </c>
    </row>
    <row r="2052" spans="1:12" x14ac:dyDescent="0.2">
      <c r="A2052" s="28" t="s">
        <v>11</v>
      </c>
      <c r="B2052" s="2" t="s">
        <v>29</v>
      </c>
      <c r="C2052" s="30">
        <v>0.5</v>
      </c>
      <c r="D2052" s="28">
        <f>YEAR(TableauFlitrage[[#This Row],[Date_d_adjudication]])</f>
        <v>2024</v>
      </c>
      <c r="E2052" s="28">
        <f t="shared" si="35"/>
        <v>5</v>
      </c>
      <c r="F2052" s="15">
        <v>45420</v>
      </c>
      <c r="G2052" s="28">
        <v>96.470247999999998</v>
      </c>
      <c r="H2052" s="15">
        <v>45604</v>
      </c>
      <c r="I2052">
        <v>20.75</v>
      </c>
      <c r="J2052">
        <v>10000</v>
      </c>
      <c r="K2052" s="28">
        <v>7.2374000000000001</v>
      </c>
    </row>
    <row r="2053" spans="1:12" x14ac:dyDescent="0.2">
      <c r="A2053" s="28" t="s">
        <v>7</v>
      </c>
      <c r="B2053" s="2" t="s">
        <v>29</v>
      </c>
      <c r="C2053" s="30">
        <v>0.5</v>
      </c>
      <c r="D2053" s="28">
        <f>YEAR(TableauFlitrage[[#This Row],[Date_d_adjudication]])</f>
        <v>2024</v>
      </c>
      <c r="E2053" s="28">
        <f t="shared" si="35"/>
        <v>5</v>
      </c>
      <c r="F2053" s="15">
        <v>45425</v>
      </c>
      <c r="G2053" s="28">
        <v>96.691914999999995</v>
      </c>
      <c r="H2053" s="15">
        <v>45609</v>
      </c>
      <c r="I2053">
        <v>57.92</v>
      </c>
      <c r="J2053">
        <v>30000</v>
      </c>
      <c r="K2053" s="28">
        <v>6.7672999999999996</v>
      </c>
    </row>
    <row r="2054" spans="1:12" x14ac:dyDescent="0.2">
      <c r="A2054" s="28" t="s">
        <v>7</v>
      </c>
      <c r="B2054" s="2" t="s">
        <v>29</v>
      </c>
      <c r="C2054" s="30">
        <v>1</v>
      </c>
      <c r="D2054" s="28">
        <f>YEAR(TableauFlitrage[[#This Row],[Date_d_adjudication]])</f>
        <v>2024</v>
      </c>
      <c r="E2054" s="28">
        <f t="shared" si="35"/>
        <v>5</v>
      </c>
      <c r="F2054" s="15">
        <v>45425</v>
      </c>
      <c r="G2054" s="28">
        <v>93.075073000000003</v>
      </c>
      <c r="H2054" s="15">
        <v>45791</v>
      </c>
      <c r="I2054">
        <v>32.54</v>
      </c>
      <c r="J2054">
        <v>30000</v>
      </c>
      <c r="K2054" s="28">
        <v>7.3583999999999996</v>
      </c>
    </row>
    <row r="2055" spans="1:12" x14ac:dyDescent="0.2">
      <c r="A2055" s="28" t="s">
        <v>9</v>
      </c>
      <c r="B2055" s="2" t="s">
        <v>29</v>
      </c>
      <c r="C2055" s="30">
        <v>0.25</v>
      </c>
      <c r="D2055" s="28">
        <f>YEAR(TableauFlitrage[[#This Row],[Date_d_adjudication]])</f>
        <v>2024</v>
      </c>
      <c r="E2055" s="28">
        <f t="shared" si="35"/>
        <v>5</v>
      </c>
      <c r="F2055" s="15">
        <v>45427</v>
      </c>
      <c r="G2055" s="28">
        <v>98.414809000000005</v>
      </c>
      <c r="H2055" s="15">
        <v>45520</v>
      </c>
      <c r="I2055">
        <v>112.7222</v>
      </c>
      <c r="J2055">
        <v>9000</v>
      </c>
      <c r="K2055" s="28">
        <v>6.3720999999999997</v>
      </c>
    </row>
    <row r="2056" spans="1:12" x14ac:dyDescent="0.2">
      <c r="A2056" s="28" t="s">
        <v>11</v>
      </c>
      <c r="B2056" s="2" t="s">
        <v>29</v>
      </c>
      <c r="C2056" s="30">
        <v>0.5</v>
      </c>
      <c r="D2056" s="28">
        <f>YEAR(TableauFlitrage[[#This Row],[Date_d_adjudication]])</f>
        <v>2024</v>
      </c>
      <c r="E2056" s="28">
        <f t="shared" si="35"/>
        <v>5</v>
      </c>
      <c r="F2056" s="15">
        <v>45427</v>
      </c>
      <c r="G2056" s="28">
        <v>96.537115999999997</v>
      </c>
      <c r="H2056" s="15">
        <v>45611</v>
      </c>
      <c r="I2056">
        <v>100.37</v>
      </c>
      <c r="J2056">
        <v>10000</v>
      </c>
      <c r="K2056" s="28">
        <v>7.0953999999999997</v>
      </c>
    </row>
    <row r="2057" spans="1:12" x14ac:dyDescent="0.2">
      <c r="A2057" s="28" t="s">
        <v>11</v>
      </c>
      <c r="B2057" t="s">
        <v>30</v>
      </c>
      <c r="C2057" s="30" t="s">
        <v>53</v>
      </c>
      <c r="D2057" s="28">
        <f>YEAR(TableauFlitrage[[#This Row],[Date_d_adjudication]])</f>
        <v>2024</v>
      </c>
      <c r="E2057" s="28">
        <f t="shared" si="35"/>
        <v>5</v>
      </c>
      <c r="F2057" s="15">
        <v>45427</v>
      </c>
      <c r="G2057" s="28">
        <v>90.226799999999997</v>
      </c>
      <c r="H2057" s="15">
        <v>46159</v>
      </c>
      <c r="I2057">
        <v>15.8569</v>
      </c>
      <c r="J2057">
        <v>15000</v>
      </c>
      <c r="K2057" s="28">
        <v>6</v>
      </c>
      <c r="L2057">
        <v>11.62</v>
      </c>
    </row>
    <row r="2058" spans="1:12" x14ac:dyDescent="0.2">
      <c r="A2058" s="28" t="s">
        <v>7</v>
      </c>
      <c r="B2058" s="2" t="s">
        <v>29</v>
      </c>
      <c r="C2058" s="30">
        <v>0.5</v>
      </c>
      <c r="D2058" s="28">
        <f>YEAR(TableauFlitrage[[#This Row],[Date_d_adjudication]])</f>
        <v>2024</v>
      </c>
      <c r="E2058" s="28">
        <f t="shared" si="35"/>
        <v>5</v>
      </c>
      <c r="F2058" s="15">
        <v>45432</v>
      </c>
      <c r="G2058" s="28">
        <v>96.712950000000006</v>
      </c>
      <c r="H2058" s="15">
        <v>45616</v>
      </c>
      <c r="I2058">
        <v>46.865000000000002</v>
      </c>
      <c r="J2058">
        <v>40000</v>
      </c>
      <c r="K2058" s="28">
        <v>6.7228000000000003</v>
      </c>
    </row>
    <row r="2059" spans="1:12" x14ac:dyDescent="0.2">
      <c r="A2059" s="28" t="s">
        <v>8</v>
      </c>
      <c r="B2059" s="2" t="s">
        <v>29</v>
      </c>
      <c r="C2059" s="30">
        <v>0.5</v>
      </c>
      <c r="D2059" s="28">
        <f>YEAR(TableauFlitrage[[#This Row],[Date_d_adjudication]])</f>
        <v>2024</v>
      </c>
      <c r="E2059" s="28">
        <f t="shared" si="35"/>
        <v>5</v>
      </c>
      <c r="F2059" s="15">
        <v>45433</v>
      </c>
      <c r="G2059" s="28">
        <v>96.912222</v>
      </c>
      <c r="H2059" s="15">
        <v>45603</v>
      </c>
      <c r="I2059">
        <v>30</v>
      </c>
      <c r="J2059">
        <v>15000</v>
      </c>
      <c r="K2059" s="28">
        <v>6.8274999999999997</v>
      </c>
    </row>
    <row r="2060" spans="1:12" x14ac:dyDescent="0.2">
      <c r="A2060" s="28" t="s">
        <v>8</v>
      </c>
      <c r="B2060" s="2" t="s">
        <v>29</v>
      </c>
      <c r="C2060" s="30">
        <v>1</v>
      </c>
      <c r="D2060" s="28">
        <f>YEAR(TableauFlitrage[[#This Row],[Date_d_adjudication]])</f>
        <v>2024</v>
      </c>
      <c r="E2060" s="28">
        <f t="shared" si="35"/>
        <v>5</v>
      </c>
      <c r="F2060" s="15">
        <v>45433</v>
      </c>
      <c r="G2060" s="28">
        <v>93.202663999999999</v>
      </c>
      <c r="H2060" s="15">
        <v>45785</v>
      </c>
      <c r="I2060">
        <v>34.5</v>
      </c>
      <c r="J2060">
        <v>15000</v>
      </c>
      <c r="K2060" s="28">
        <v>7.5014000000000003</v>
      </c>
    </row>
    <row r="2061" spans="1:12" x14ac:dyDescent="0.2">
      <c r="A2061" s="28" t="s">
        <v>10</v>
      </c>
      <c r="B2061" s="2" t="s">
        <v>29</v>
      </c>
      <c r="C2061" s="30">
        <v>1</v>
      </c>
      <c r="D2061" s="28">
        <f>YEAR(TableauFlitrage[[#This Row],[Date_d_adjudication]])</f>
        <v>2024</v>
      </c>
      <c r="E2061" s="28">
        <f t="shared" si="35"/>
        <v>5</v>
      </c>
      <c r="F2061" s="15">
        <v>45433</v>
      </c>
      <c r="G2061" s="28">
        <v>93.210305000000005</v>
      </c>
      <c r="H2061" s="15">
        <v>45799</v>
      </c>
      <c r="I2061">
        <v>37.094999999999999</v>
      </c>
      <c r="J2061">
        <v>20000</v>
      </c>
      <c r="K2061" s="28">
        <v>7.2042000000000002</v>
      </c>
    </row>
    <row r="2062" spans="1:12" x14ac:dyDescent="0.2">
      <c r="A2062" s="28" t="s">
        <v>9</v>
      </c>
      <c r="B2062" s="2" t="s">
        <v>29</v>
      </c>
      <c r="C2062" s="30">
        <v>0.5</v>
      </c>
      <c r="D2062" s="28">
        <f>YEAR(TableauFlitrage[[#This Row],[Date_d_adjudication]])</f>
        <v>2024</v>
      </c>
      <c r="E2062" s="28">
        <f t="shared" si="35"/>
        <v>5</v>
      </c>
      <c r="F2062" s="15">
        <v>45434</v>
      </c>
      <c r="G2062" s="28">
        <v>96.732776999999999</v>
      </c>
      <c r="H2062" s="15">
        <v>45618</v>
      </c>
      <c r="I2062">
        <v>49.318199999999997</v>
      </c>
      <c r="J2062">
        <v>11000</v>
      </c>
      <c r="K2062" s="28">
        <v>6.6809000000000003</v>
      </c>
    </row>
    <row r="2063" spans="1:12" x14ac:dyDescent="0.2">
      <c r="A2063" s="28" t="s">
        <v>11</v>
      </c>
      <c r="B2063" t="s">
        <v>30</v>
      </c>
      <c r="C2063" s="30" t="s">
        <v>53</v>
      </c>
      <c r="D2063" s="28">
        <f>YEAR(TableauFlitrage[[#This Row],[Date_d_adjudication]])</f>
        <v>2024</v>
      </c>
      <c r="E2063" s="28">
        <f t="shared" si="35"/>
        <v>5</v>
      </c>
      <c r="F2063" s="15">
        <v>45434</v>
      </c>
      <c r="G2063" s="28">
        <v>91.424099999999996</v>
      </c>
      <c r="H2063" s="15">
        <v>46166</v>
      </c>
      <c r="I2063">
        <v>33.706699999999998</v>
      </c>
      <c r="J2063">
        <v>15000</v>
      </c>
      <c r="K2063" s="28">
        <v>6</v>
      </c>
      <c r="L2063">
        <v>10.89</v>
      </c>
    </row>
    <row r="2064" spans="1:12" x14ac:dyDescent="0.2">
      <c r="A2064" s="28" t="s">
        <v>7</v>
      </c>
      <c r="B2064" s="2" t="s">
        <v>29</v>
      </c>
      <c r="C2064" s="30">
        <v>0.5</v>
      </c>
      <c r="D2064" s="28">
        <f>YEAR(TableauFlitrage[[#This Row],[Date_d_adjudication]])</f>
        <v>2024</v>
      </c>
      <c r="E2064" s="28">
        <f t="shared" si="35"/>
        <v>5</v>
      </c>
      <c r="F2064" s="15">
        <v>45439</v>
      </c>
      <c r="G2064" s="28">
        <v>96.714072000000002</v>
      </c>
      <c r="H2064" s="15">
        <v>45623</v>
      </c>
      <c r="I2064">
        <v>91.933329999999998</v>
      </c>
      <c r="J2064">
        <v>15000</v>
      </c>
      <c r="K2064" s="28">
        <v>6.7205000000000004</v>
      </c>
    </row>
    <row r="2065" spans="1:12" x14ac:dyDescent="0.2">
      <c r="A2065" s="28" t="s">
        <v>7</v>
      </c>
      <c r="B2065" t="s">
        <v>30</v>
      </c>
      <c r="C2065" s="30" t="s">
        <v>54</v>
      </c>
      <c r="D2065" s="28">
        <f>YEAR(TableauFlitrage[[#This Row],[Date_d_adjudication]])</f>
        <v>2024</v>
      </c>
      <c r="E2065" s="28">
        <f t="shared" si="35"/>
        <v>5</v>
      </c>
      <c r="F2065" s="15">
        <v>45439</v>
      </c>
      <c r="G2065" s="28">
        <v>95</v>
      </c>
      <c r="H2065" s="15">
        <v>46536</v>
      </c>
      <c r="I2065">
        <v>90.37</v>
      </c>
      <c r="J2065">
        <v>10000</v>
      </c>
      <c r="K2065" s="28">
        <v>6.25</v>
      </c>
      <c r="L2065">
        <v>8.16</v>
      </c>
    </row>
    <row r="2066" spans="1:12" x14ac:dyDescent="0.2">
      <c r="A2066" s="28" t="s">
        <v>7</v>
      </c>
      <c r="B2066" t="s">
        <v>30</v>
      </c>
      <c r="C2066" s="30" t="s">
        <v>53</v>
      </c>
      <c r="D2066" s="28">
        <f>YEAR(TableauFlitrage[[#This Row],[Date_d_adjudication]])</f>
        <v>2024</v>
      </c>
      <c r="E2066" s="28">
        <f t="shared" si="35"/>
        <v>5</v>
      </c>
      <c r="F2066" s="15">
        <v>45439</v>
      </c>
      <c r="G2066" s="28">
        <v>100</v>
      </c>
      <c r="H2066" s="15">
        <v>46011</v>
      </c>
      <c r="I2066">
        <v>100</v>
      </c>
      <c r="J2066">
        <v>44000</v>
      </c>
      <c r="K2066" s="28">
        <v>6</v>
      </c>
      <c r="L2066">
        <v>4.5999999999999996</v>
      </c>
    </row>
    <row r="2067" spans="1:12" x14ac:dyDescent="0.2">
      <c r="A2067" s="28" t="s">
        <v>7</v>
      </c>
      <c r="B2067" t="s">
        <v>30</v>
      </c>
      <c r="C2067" s="30" t="s">
        <v>56</v>
      </c>
      <c r="D2067" s="28">
        <f>YEAR(TableauFlitrage[[#This Row],[Date_d_adjudication]])</f>
        <v>2024</v>
      </c>
      <c r="E2067" s="28">
        <f t="shared" si="35"/>
        <v>5</v>
      </c>
      <c r="F2067" s="15">
        <v>45439</v>
      </c>
      <c r="G2067" s="28">
        <v>97.6892</v>
      </c>
      <c r="H2067" s="15">
        <v>46272</v>
      </c>
      <c r="I2067">
        <v>75.628600000000006</v>
      </c>
      <c r="J2067">
        <v>35000</v>
      </c>
      <c r="K2067" s="28">
        <v>4.75</v>
      </c>
      <c r="L2067">
        <v>5.99</v>
      </c>
    </row>
    <row r="2068" spans="1:12" x14ac:dyDescent="0.2">
      <c r="A2068" s="28" t="s">
        <v>7</v>
      </c>
      <c r="B2068" t="s">
        <v>30</v>
      </c>
      <c r="C2068" s="30" t="s">
        <v>55</v>
      </c>
      <c r="D2068" s="28">
        <f>YEAR(TableauFlitrage[[#This Row],[Date_d_adjudication]])</f>
        <v>2024</v>
      </c>
      <c r="E2068" s="28">
        <f t="shared" si="35"/>
        <v>5</v>
      </c>
      <c r="F2068" s="15">
        <v>45439</v>
      </c>
      <c r="G2068" s="28">
        <v>93.944400000000002</v>
      </c>
      <c r="H2068" s="15">
        <v>46462</v>
      </c>
      <c r="I2068">
        <v>68.650000000000006</v>
      </c>
      <c r="J2068">
        <v>20000</v>
      </c>
      <c r="K2068" s="28">
        <v>5.25</v>
      </c>
      <c r="L2068">
        <v>7.54</v>
      </c>
    </row>
    <row r="2069" spans="1:12" x14ac:dyDescent="0.2">
      <c r="A2069" s="28" t="s">
        <v>7</v>
      </c>
      <c r="B2069" t="s">
        <v>30</v>
      </c>
      <c r="C2069" s="30" t="s">
        <v>54</v>
      </c>
      <c r="D2069" s="28">
        <f>YEAR(TableauFlitrage[[#This Row],[Date_d_adjudication]])</f>
        <v>2024</v>
      </c>
      <c r="E2069" s="28">
        <f t="shared" si="35"/>
        <v>5</v>
      </c>
      <c r="F2069" s="15">
        <v>45439</v>
      </c>
      <c r="G2069" s="28">
        <v>95.5</v>
      </c>
      <c r="H2069" s="15">
        <v>46536</v>
      </c>
      <c r="I2069">
        <v>100</v>
      </c>
      <c r="J2069">
        <v>20000</v>
      </c>
      <c r="K2069" s="28">
        <v>6.25</v>
      </c>
      <c r="L2069">
        <v>7.97</v>
      </c>
    </row>
    <row r="2070" spans="1:12" x14ac:dyDescent="0.2">
      <c r="A2070" s="28" t="s">
        <v>7</v>
      </c>
      <c r="B2070" t="s">
        <v>30</v>
      </c>
      <c r="C2070" s="30" t="s">
        <v>53</v>
      </c>
      <c r="D2070" s="28">
        <f>YEAR(TableauFlitrage[[#This Row],[Date_d_adjudication]])</f>
        <v>2024</v>
      </c>
      <c r="E2070" s="28">
        <f t="shared" si="35"/>
        <v>5</v>
      </c>
      <c r="F2070" s="15">
        <v>45439</v>
      </c>
      <c r="G2070" s="28">
        <v>96.75</v>
      </c>
      <c r="H2070" s="15">
        <v>46171</v>
      </c>
      <c r="I2070">
        <v>95.185100000000006</v>
      </c>
      <c r="J2070">
        <v>47000</v>
      </c>
      <c r="K2070" s="28">
        <v>6</v>
      </c>
      <c r="L2070">
        <v>7.79</v>
      </c>
    </row>
    <row r="2071" spans="1:12" x14ac:dyDescent="0.2">
      <c r="A2071" s="28" t="s">
        <v>7</v>
      </c>
      <c r="B2071" t="s">
        <v>30</v>
      </c>
      <c r="C2071" s="30" t="s">
        <v>57</v>
      </c>
      <c r="D2071" s="28">
        <f>YEAR(TableauFlitrage[[#This Row],[Date_d_adjudication]])</f>
        <v>2024</v>
      </c>
      <c r="E2071" s="28">
        <f t="shared" si="35"/>
        <v>5</v>
      </c>
      <c r="F2071" s="15">
        <v>45439</v>
      </c>
      <c r="G2071" s="28">
        <v>92.75</v>
      </c>
      <c r="H2071" s="15">
        <v>47632</v>
      </c>
      <c r="I2071">
        <v>17.829999999999998</v>
      </c>
      <c r="J2071">
        <v>20000</v>
      </c>
      <c r="K2071" s="28">
        <v>7</v>
      </c>
      <c r="L2071">
        <v>8.57</v>
      </c>
    </row>
    <row r="2072" spans="1:12" x14ac:dyDescent="0.2">
      <c r="A2072" s="28" t="s">
        <v>7</v>
      </c>
      <c r="B2072" t="s">
        <v>30</v>
      </c>
      <c r="C2072" s="30" t="s">
        <v>56</v>
      </c>
      <c r="D2072" s="28">
        <f>YEAR(TableauFlitrage[[#This Row],[Date_d_adjudication]])</f>
        <v>2024</v>
      </c>
      <c r="E2072" s="28">
        <f t="shared" si="35"/>
        <v>5</v>
      </c>
      <c r="F2072" s="15">
        <v>45439</v>
      </c>
      <c r="G2072" s="28">
        <v>94.5</v>
      </c>
      <c r="H2072" s="15">
        <v>46902</v>
      </c>
      <c r="I2072">
        <v>76.836200000000005</v>
      </c>
      <c r="J2072">
        <v>25000</v>
      </c>
      <c r="K2072" s="28">
        <v>6.5</v>
      </c>
      <c r="L2072">
        <v>8.14</v>
      </c>
    </row>
    <row r="2073" spans="1:12" x14ac:dyDescent="0.2">
      <c r="A2073" s="28" t="s">
        <v>7</v>
      </c>
      <c r="B2073" t="s">
        <v>30</v>
      </c>
      <c r="C2073" s="30" t="s">
        <v>55</v>
      </c>
      <c r="D2073" s="28">
        <f>YEAR(TableauFlitrage[[#This Row],[Date_d_adjudication]])</f>
        <v>2024</v>
      </c>
      <c r="E2073" s="28">
        <f t="shared" si="35"/>
        <v>5</v>
      </c>
      <c r="F2073" s="15">
        <v>45439</v>
      </c>
      <c r="G2073" s="28">
        <v>93.5</v>
      </c>
      <c r="H2073" s="15">
        <v>47267</v>
      </c>
      <c r="I2073">
        <v>20.472000000000001</v>
      </c>
      <c r="J2073">
        <v>25000</v>
      </c>
      <c r="K2073" s="28">
        <v>6.75</v>
      </c>
      <c r="L2073">
        <v>8.3699999999999992</v>
      </c>
    </row>
    <row r="2074" spans="1:12" x14ac:dyDescent="0.2">
      <c r="A2074" s="28" t="s">
        <v>7</v>
      </c>
      <c r="B2074" t="s">
        <v>30</v>
      </c>
      <c r="C2074" s="30" t="s">
        <v>55</v>
      </c>
      <c r="D2074" s="28">
        <f>YEAR(TableauFlitrage[[#This Row],[Date_d_adjudication]])</f>
        <v>2024</v>
      </c>
      <c r="E2074" s="28">
        <f t="shared" si="35"/>
        <v>5</v>
      </c>
      <c r="F2074" s="15">
        <v>45439</v>
      </c>
      <c r="G2074" s="28">
        <v>100</v>
      </c>
      <c r="H2074" s="15">
        <v>45457</v>
      </c>
      <c r="I2074">
        <v>0</v>
      </c>
      <c r="J2074">
        <v>30000</v>
      </c>
      <c r="K2074" s="28">
        <v>5.6</v>
      </c>
    </row>
    <row r="2075" spans="1:12" x14ac:dyDescent="0.2">
      <c r="A2075" s="28" t="s">
        <v>7</v>
      </c>
      <c r="B2075" t="s">
        <v>30</v>
      </c>
      <c r="C2075" s="30" t="s">
        <v>54</v>
      </c>
      <c r="D2075" s="28">
        <f>YEAR(TableauFlitrage[[#This Row],[Date_d_adjudication]])</f>
        <v>2024</v>
      </c>
      <c r="E2075" s="28">
        <f t="shared" si="35"/>
        <v>5</v>
      </c>
      <c r="F2075" s="15">
        <v>45439</v>
      </c>
      <c r="G2075" s="28">
        <v>100</v>
      </c>
      <c r="H2075" s="15">
        <v>45594</v>
      </c>
      <c r="I2075">
        <v>0</v>
      </c>
      <c r="J2075">
        <v>23000</v>
      </c>
      <c r="K2075" s="28">
        <v>3.7</v>
      </c>
    </row>
    <row r="2076" spans="1:12" x14ac:dyDescent="0.2">
      <c r="A2076" s="28" t="s">
        <v>7</v>
      </c>
      <c r="B2076" t="s">
        <v>30</v>
      </c>
      <c r="C2076" s="30" t="s">
        <v>55</v>
      </c>
      <c r="D2076" s="28">
        <f>YEAR(TableauFlitrage[[#This Row],[Date_d_adjudication]])</f>
        <v>2024</v>
      </c>
      <c r="E2076" s="28">
        <f t="shared" si="35"/>
        <v>5</v>
      </c>
      <c r="F2076" s="15">
        <v>45439</v>
      </c>
      <c r="G2076" s="28">
        <v>100</v>
      </c>
      <c r="H2076" s="15">
        <v>46002</v>
      </c>
      <c r="I2076">
        <v>0</v>
      </c>
      <c r="J2076">
        <v>16000</v>
      </c>
      <c r="K2076" s="28">
        <v>5.5</v>
      </c>
    </row>
    <row r="2077" spans="1:12" x14ac:dyDescent="0.2">
      <c r="A2077" s="28" t="s">
        <v>7</v>
      </c>
      <c r="B2077" t="s">
        <v>30</v>
      </c>
      <c r="C2077" s="30" t="s">
        <v>55</v>
      </c>
      <c r="D2077" s="28">
        <f>YEAR(TableauFlitrage[[#This Row],[Date_d_adjudication]])</f>
        <v>2024</v>
      </c>
      <c r="E2077" s="28">
        <f t="shared" si="35"/>
        <v>5</v>
      </c>
      <c r="F2077" s="15">
        <v>45439</v>
      </c>
      <c r="G2077" s="28">
        <v>100</v>
      </c>
      <c r="H2077" s="15">
        <v>45757</v>
      </c>
      <c r="I2077">
        <v>0</v>
      </c>
      <c r="J2077">
        <v>30000</v>
      </c>
      <c r="K2077" s="28">
        <v>5.7</v>
      </c>
    </row>
    <row r="2078" spans="1:12" x14ac:dyDescent="0.2">
      <c r="A2078" s="28" t="s">
        <v>8</v>
      </c>
      <c r="B2078" s="2" t="s">
        <v>29</v>
      </c>
      <c r="C2078" s="30">
        <v>0.5</v>
      </c>
      <c r="D2078" s="28">
        <f>YEAR(TableauFlitrage[[#This Row],[Date_d_adjudication]])</f>
        <v>2024</v>
      </c>
      <c r="E2078" s="28">
        <f t="shared" si="35"/>
        <v>5</v>
      </c>
      <c r="F2078" s="15">
        <v>45440</v>
      </c>
      <c r="G2078" s="28">
        <v>96.704198000000005</v>
      </c>
      <c r="H2078" s="15">
        <v>45624</v>
      </c>
      <c r="I2078">
        <v>28.693300000000001</v>
      </c>
      <c r="J2078">
        <v>15000</v>
      </c>
      <c r="K2078" s="28">
        <v>6.7412999999999998</v>
      </c>
    </row>
    <row r="2079" spans="1:12" x14ac:dyDescent="0.2">
      <c r="A2079" s="28" t="s">
        <v>8</v>
      </c>
      <c r="B2079" t="s">
        <v>30</v>
      </c>
      <c r="C2079" s="30" t="s">
        <v>53</v>
      </c>
      <c r="D2079" s="28">
        <f>YEAR(TableauFlitrage[[#This Row],[Date_d_adjudication]])</f>
        <v>2024</v>
      </c>
      <c r="E2079" s="28">
        <f t="shared" si="35"/>
        <v>5</v>
      </c>
      <c r="F2079" s="15">
        <v>45440</v>
      </c>
      <c r="G2079" s="28">
        <v>90.2286</v>
      </c>
      <c r="H2079" s="15">
        <v>46172</v>
      </c>
      <c r="I2079">
        <v>35.734699999999997</v>
      </c>
      <c r="J2079">
        <v>15000</v>
      </c>
      <c r="K2079" s="28">
        <v>5.25</v>
      </c>
      <c r="L2079">
        <v>10.81</v>
      </c>
    </row>
    <row r="2080" spans="1:12" x14ac:dyDescent="0.2">
      <c r="A2080" s="28" t="s">
        <v>9</v>
      </c>
      <c r="B2080" s="2" t="s">
        <v>29</v>
      </c>
      <c r="C2080" s="30">
        <v>0.25</v>
      </c>
      <c r="D2080" s="28">
        <f>YEAR(TableauFlitrage[[#This Row],[Date_d_adjudication]])</f>
        <v>2024</v>
      </c>
      <c r="E2080" s="28">
        <f t="shared" si="35"/>
        <v>5</v>
      </c>
      <c r="F2080" s="15">
        <v>45441</v>
      </c>
      <c r="G2080" s="28">
        <v>98.409508000000002</v>
      </c>
      <c r="H2080" s="15">
        <v>45534</v>
      </c>
      <c r="I2080">
        <v>134.5727</v>
      </c>
      <c r="J2080">
        <v>11000</v>
      </c>
      <c r="K2080" s="28">
        <v>6.3936999999999999</v>
      </c>
    </row>
    <row r="2081" spans="1:12" x14ac:dyDescent="0.2">
      <c r="A2081" s="28" t="s">
        <v>11</v>
      </c>
      <c r="B2081" s="2" t="s">
        <v>29</v>
      </c>
      <c r="C2081" s="30">
        <v>0.5</v>
      </c>
      <c r="D2081" s="28">
        <f>YEAR(TableauFlitrage[[#This Row],[Date_d_adjudication]])</f>
        <v>2024</v>
      </c>
      <c r="E2081" s="28">
        <f t="shared" si="35"/>
        <v>5</v>
      </c>
      <c r="F2081" s="15">
        <v>45441</v>
      </c>
      <c r="G2081" s="28">
        <v>96.715885</v>
      </c>
      <c r="H2081" s="15">
        <v>45625</v>
      </c>
      <c r="I2081">
        <v>30.726700000000001</v>
      </c>
      <c r="J2081">
        <v>15000</v>
      </c>
      <c r="K2081" s="28">
        <v>6.7165999999999997</v>
      </c>
    </row>
    <row r="2082" spans="1:12" x14ac:dyDescent="0.2">
      <c r="A2082" s="28" t="s">
        <v>9</v>
      </c>
      <c r="B2082" t="s">
        <v>30</v>
      </c>
      <c r="C2082" s="30" t="s">
        <v>53</v>
      </c>
      <c r="D2082" s="28">
        <f>YEAR(TableauFlitrage[[#This Row],[Date_d_adjudication]])</f>
        <v>2024</v>
      </c>
      <c r="E2082" s="28">
        <f t="shared" si="35"/>
        <v>5</v>
      </c>
      <c r="F2082" s="15">
        <v>45441</v>
      </c>
      <c r="G2082" s="28">
        <v>100.28100000000001</v>
      </c>
      <c r="H2082" s="15">
        <v>45824</v>
      </c>
      <c r="I2082">
        <v>158</v>
      </c>
      <c r="J2082">
        <v>12500</v>
      </c>
      <c r="K2082" s="28">
        <v>5</v>
      </c>
      <c r="L2082">
        <v>4.71</v>
      </c>
    </row>
    <row r="2083" spans="1:12" x14ac:dyDescent="0.2">
      <c r="A2083" s="28" t="s">
        <v>9</v>
      </c>
      <c r="B2083" t="s">
        <v>30</v>
      </c>
      <c r="C2083" s="30" t="s">
        <v>54</v>
      </c>
      <c r="D2083" s="28">
        <f>YEAR(TableauFlitrage[[#This Row],[Date_d_adjudication]])</f>
        <v>2024</v>
      </c>
      <c r="E2083" s="28">
        <f t="shared" si="35"/>
        <v>5</v>
      </c>
      <c r="F2083" s="15">
        <v>45441</v>
      </c>
      <c r="G2083" s="28">
        <v>98.477500000000006</v>
      </c>
      <c r="H2083" s="15">
        <v>45706</v>
      </c>
      <c r="I2083">
        <v>158</v>
      </c>
      <c r="J2083">
        <v>12500</v>
      </c>
      <c r="K2083" s="28">
        <v>5.25</v>
      </c>
      <c r="L2083">
        <v>6.85</v>
      </c>
    </row>
    <row r="2084" spans="1:12" x14ac:dyDescent="0.2">
      <c r="A2084" s="28" t="s">
        <v>11</v>
      </c>
      <c r="B2084" t="s">
        <v>30</v>
      </c>
      <c r="C2084" s="30" t="s">
        <v>53</v>
      </c>
      <c r="D2084" s="28">
        <f>YEAR(TableauFlitrage[[#This Row],[Date_d_adjudication]])</f>
        <v>2024</v>
      </c>
      <c r="E2084" s="28">
        <f t="shared" si="35"/>
        <v>5</v>
      </c>
      <c r="F2084" s="15">
        <v>45441</v>
      </c>
      <c r="G2084" s="28">
        <v>90.010300000000001</v>
      </c>
      <c r="H2084" s="15">
        <v>46173</v>
      </c>
      <c r="I2084">
        <v>54.720500000000001</v>
      </c>
      <c r="J2084">
        <v>15000</v>
      </c>
      <c r="K2084" s="28">
        <v>6</v>
      </c>
      <c r="L2084">
        <v>11.75</v>
      </c>
    </row>
    <row r="2085" spans="1:12" x14ac:dyDescent="0.2">
      <c r="A2085" s="28" t="s">
        <v>8</v>
      </c>
      <c r="B2085" s="2" t="s">
        <v>29</v>
      </c>
      <c r="C2085" s="30">
        <v>0.25</v>
      </c>
      <c r="D2085" s="28">
        <f>YEAR(TableauFlitrage[[#This Row],[Date_d_adjudication]])</f>
        <v>2024</v>
      </c>
      <c r="E2085" s="28">
        <f t="shared" si="35"/>
        <v>6</v>
      </c>
      <c r="F2085" s="15">
        <v>45447</v>
      </c>
      <c r="G2085" s="28">
        <v>98.403848999999994</v>
      </c>
      <c r="H2085" s="15">
        <v>45540</v>
      </c>
      <c r="I2085">
        <v>71.432000000000002</v>
      </c>
      <c r="J2085">
        <v>25000</v>
      </c>
      <c r="K2085" s="28">
        <v>6.4169</v>
      </c>
    </row>
    <row r="2086" spans="1:12" x14ac:dyDescent="0.2">
      <c r="A2086" s="28" t="s">
        <v>8</v>
      </c>
      <c r="B2086" s="2" t="s">
        <v>29</v>
      </c>
      <c r="C2086" s="30">
        <v>0.5</v>
      </c>
      <c r="D2086" s="28">
        <f>YEAR(TableauFlitrage[[#This Row],[Date_d_adjudication]])</f>
        <v>2024</v>
      </c>
      <c r="E2086" s="28">
        <f t="shared" si="35"/>
        <v>6</v>
      </c>
      <c r="F2086" s="15">
        <v>45447</v>
      </c>
      <c r="G2086" s="28">
        <v>96.692234999999997</v>
      </c>
      <c r="H2086" s="15">
        <v>45631</v>
      </c>
      <c r="I2086">
        <v>13.644</v>
      </c>
      <c r="J2086">
        <v>25000</v>
      </c>
      <c r="K2086" s="28">
        <v>6.7667000000000002</v>
      </c>
    </row>
    <row r="2087" spans="1:12" x14ac:dyDescent="0.2">
      <c r="A2087" s="28" t="s">
        <v>8</v>
      </c>
      <c r="B2087" s="2" t="s">
        <v>29</v>
      </c>
      <c r="C2087" s="30">
        <v>1</v>
      </c>
      <c r="D2087" s="28">
        <f>YEAR(TableauFlitrage[[#This Row],[Date_d_adjudication]])</f>
        <v>2024</v>
      </c>
      <c r="E2087" s="28">
        <f t="shared" si="35"/>
        <v>6</v>
      </c>
      <c r="F2087" s="15">
        <v>45447</v>
      </c>
      <c r="G2087" s="28">
        <v>93.832267999999999</v>
      </c>
      <c r="H2087" s="15">
        <v>45785</v>
      </c>
      <c r="I2087">
        <v>16.899999999999999</v>
      </c>
      <c r="J2087">
        <v>15000</v>
      </c>
      <c r="K2087" s="28">
        <v>7.0427</v>
      </c>
    </row>
    <row r="2088" spans="1:12" x14ac:dyDescent="0.2">
      <c r="A2088" s="28" t="s">
        <v>8</v>
      </c>
      <c r="B2088" t="s">
        <v>30</v>
      </c>
      <c r="C2088" s="30" t="s">
        <v>53</v>
      </c>
      <c r="D2088" s="28">
        <f>YEAR(TableauFlitrage[[#This Row],[Date_d_adjudication]])</f>
        <v>2024</v>
      </c>
      <c r="E2088" s="28">
        <f t="shared" si="35"/>
        <v>6</v>
      </c>
      <c r="F2088" s="15">
        <v>45447</v>
      </c>
      <c r="G2088" s="28">
        <v>90.622600000000006</v>
      </c>
      <c r="H2088" s="15">
        <v>46172</v>
      </c>
      <c r="I2088">
        <v>20.566700000000001</v>
      </c>
      <c r="J2088">
        <v>15000</v>
      </c>
      <c r="K2088" s="28">
        <v>5.25</v>
      </c>
      <c r="L2088">
        <v>10.57</v>
      </c>
    </row>
    <row r="2089" spans="1:12" x14ac:dyDescent="0.2">
      <c r="A2089" s="28" t="s">
        <v>9</v>
      </c>
      <c r="B2089" s="2" t="s">
        <v>29</v>
      </c>
      <c r="C2089" s="30">
        <v>0.25</v>
      </c>
      <c r="D2089" s="28">
        <f>YEAR(TableauFlitrage[[#This Row],[Date_d_adjudication]])</f>
        <v>2024</v>
      </c>
      <c r="E2089" s="28">
        <f t="shared" si="35"/>
        <v>6</v>
      </c>
      <c r="F2089" s="15">
        <v>45448</v>
      </c>
      <c r="G2089" s="28">
        <v>98.421288000000004</v>
      </c>
      <c r="H2089" s="15">
        <v>45541</v>
      </c>
      <c r="I2089">
        <v>61.1111</v>
      </c>
      <c r="J2089">
        <v>9000</v>
      </c>
      <c r="K2089" s="28">
        <v>6.3456000000000001</v>
      </c>
    </row>
    <row r="2090" spans="1:12" x14ac:dyDescent="0.2">
      <c r="A2090" s="28" t="s">
        <v>11</v>
      </c>
      <c r="B2090" t="s">
        <v>30</v>
      </c>
      <c r="C2090" s="30" t="s">
        <v>53</v>
      </c>
      <c r="D2090" s="28">
        <f>YEAR(TableauFlitrage[[#This Row],[Date_d_adjudication]])</f>
        <v>2024</v>
      </c>
      <c r="E2090" s="28">
        <f t="shared" si="35"/>
        <v>6</v>
      </c>
      <c r="F2090" s="15">
        <v>45448</v>
      </c>
      <c r="G2090" s="28">
        <v>91.464799999999997</v>
      </c>
      <c r="H2090" s="15">
        <v>46180</v>
      </c>
      <c r="I2090">
        <v>135.58250000000001</v>
      </c>
      <c r="J2090">
        <v>20000</v>
      </c>
      <c r="K2090" s="28">
        <v>6.5</v>
      </c>
      <c r="L2090">
        <v>11.39</v>
      </c>
    </row>
    <row r="2091" spans="1:12" x14ac:dyDescent="0.2">
      <c r="A2091" s="28" t="s">
        <v>7</v>
      </c>
      <c r="B2091" s="2" t="s">
        <v>29</v>
      </c>
      <c r="C2091" s="30">
        <v>0.5</v>
      </c>
      <c r="D2091" s="28">
        <f>YEAR(TableauFlitrage[[#This Row],[Date_d_adjudication]])</f>
        <v>2024</v>
      </c>
      <c r="E2091" s="28">
        <f t="shared" si="35"/>
        <v>6</v>
      </c>
      <c r="F2091" s="15">
        <v>45453</v>
      </c>
      <c r="G2091" s="28">
        <v>96.711388999999997</v>
      </c>
      <c r="H2091" s="15">
        <v>45637</v>
      </c>
      <c r="I2091">
        <v>92.072000000000003</v>
      </c>
      <c r="J2091">
        <v>25000</v>
      </c>
      <c r="K2091" s="28">
        <v>6.7260999999999997</v>
      </c>
    </row>
    <row r="2092" spans="1:12" x14ac:dyDescent="0.2">
      <c r="A2092" s="28" t="s">
        <v>8</v>
      </c>
      <c r="B2092" s="2" t="s">
        <v>29</v>
      </c>
      <c r="C2092" s="30">
        <v>0.25</v>
      </c>
      <c r="D2092" s="28">
        <f>YEAR(TableauFlitrage[[#This Row],[Date_d_adjudication]])</f>
        <v>2024</v>
      </c>
      <c r="E2092" s="28">
        <f t="shared" si="35"/>
        <v>6</v>
      </c>
      <c r="F2092" s="15">
        <v>45454</v>
      </c>
      <c r="G2092" s="28">
        <v>98.430139999999994</v>
      </c>
      <c r="H2092" s="15">
        <v>45547</v>
      </c>
      <c r="I2092">
        <v>76.7333</v>
      </c>
      <c r="J2092">
        <v>15000</v>
      </c>
      <c r="K2092" s="28">
        <v>6.3094999999999999</v>
      </c>
    </row>
    <row r="2093" spans="1:12" x14ac:dyDescent="0.2">
      <c r="A2093" s="28" t="s">
        <v>8</v>
      </c>
      <c r="B2093" s="2" t="s">
        <v>29</v>
      </c>
      <c r="C2093" s="30">
        <v>0.5</v>
      </c>
      <c r="D2093" s="28">
        <f>YEAR(TableauFlitrage[[#This Row],[Date_d_adjudication]])</f>
        <v>2024</v>
      </c>
      <c r="E2093" s="28">
        <f t="shared" si="35"/>
        <v>6</v>
      </c>
      <c r="F2093" s="15">
        <v>45454</v>
      </c>
      <c r="G2093" s="28">
        <v>96.976977000000005</v>
      </c>
      <c r="H2093" s="15">
        <v>45624</v>
      </c>
      <c r="I2093">
        <v>56.1</v>
      </c>
      <c r="J2093">
        <v>10000</v>
      </c>
      <c r="K2093" s="28">
        <v>6.6798000000000002</v>
      </c>
    </row>
    <row r="2094" spans="1:12" x14ac:dyDescent="0.2">
      <c r="A2094" s="28" t="s">
        <v>8</v>
      </c>
      <c r="B2094" t="s">
        <v>30</v>
      </c>
      <c r="C2094" s="30" t="s">
        <v>54</v>
      </c>
      <c r="D2094" s="28">
        <f>YEAR(TableauFlitrage[[#This Row],[Date_d_adjudication]])</f>
        <v>2024</v>
      </c>
      <c r="E2094" s="28">
        <f t="shared" si="35"/>
        <v>6</v>
      </c>
      <c r="F2094" s="15">
        <v>45454</v>
      </c>
      <c r="G2094" s="28">
        <v>100</v>
      </c>
      <c r="H2094" s="15">
        <v>46551</v>
      </c>
      <c r="I2094">
        <v>100</v>
      </c>
      <c r="J2094">
        <v>24233.37</v>
      </c>
      <c r="K2094" s="28">
        <v>7</v>
      </c>
      <c r="L2094">
        <v>7</v>
      </c>
    </row>
    <row r="2095" spans="1:12" x14ac:dyDescent="0.2">
      <c r="A2095" s="28" t="s">
        <v>8</v>
      </c>
      <c r="B2095" t="s">
        <v>30</v>
      </c>
      <c r="C2095" s="30" t="s">
        <v>56</v>
      </c>
      <c r="D2095" s="28">
        <f>YEAR(TableauFlitrage[[#This Row],[Date_d_adjudication]])</f>
        <v>2024</v>
      </c>
      <c r="E2095" s="28">
        <f t="shared" ref="E2095:E2155" si="36">MONTH(F2095)</f>
        <v>6</v>
      </c>
      <c r="F2095" s="15">
        <v>45454</v>
      </c>
      <c r="G2095" s="28">
        <v>100</v>
      </c>
      <c r="H2095" s="15">
        <v>46917</v>
      </c>
      <c r="I2095">
        <v>100</v>
      </c>
      <c r="J2095">
        <v>24233.37</v>
      </c>
      <c r="K2095" s="28">
        <v>7</v>
      </c>
      <c r="L2095">
        <v>7</v>
      </c>
    </row>
    <row r="2096" spans="1:12" x14ac:dyDescent="0.2">
      <c r="A2096" s="28" t="s">
        <v>8</v>
      </c>
      <c r="B2096" t="s">
        <v>30</v>
      </c>
      <c r="C2096" s="30" t="s">
        <v>55</v>
      </c>
      <c r="D2096" s="28">
        <f>YEAR(TableauFlitrage[[#This Row],[Date_d_adjudication]])</f>
        <v>2024</v>
      </c>
      <c r="E2096" s="28">
        <f t="shared" si="36"/>
        <v>6</v>
      </c>
      <c r="F2096" s="15">
        <v>45454</v>
      </c>
      <c r="G2096" s="28">
        <v>100</v>
      </c>
      <c r="H2096" s="15">
        <v>47282</v>
      </c>
      <c r="I2096">
        <v>100</v>
      </c>
      <c r="J2096">
        <v>24233.37</v>
      </c>
      <c r="K2096" s="28">
        <v>7</v>
      </c>
      <c r="L2096">
        <v>7</v>
      </c>
    </row>
    <row r="2097" spans="1:12" x14ac:dyDescent="0.2">
      <c r="A2097" s="28" t="s">
        <v>9</v>
      </c>
      <c r="B2097" s="2" t="s">
        <v>29</v>
      </c>
      <c r="C2097" s="30">
        <v>0.5</v>
      </c>
      <c r="D2097" s="28">
        <f>YEAR(TableauFlitrage[[#This Row],[Date_d_adjudication]])</f>
        <v>2024</v>
      </c>
      <c r="E2097" s="28">
        <f t="shared" si="36"/>
        <v>6</v>
      </c>
      <c r="F2097" s="15">
        <v>45455</v>
      </c>
      <c r="G2097" s="28">
        <v>96.829830000000001</v>
      </c>
      <c r="H2097" s="15">
        <v>45639</v>
      </c>
      <c r="I2097">
        <v>202.4444</v>
      </c>
      <c r="J2097">
        <v>9000</v>
      </c>
      <c r="K2097" s="28">
        <v>6.476</v>
      </c>
    </row>
    <row r="2098" spans="1:12" x14ac:dyDescent="0.2">
      <c r="A2098" s="28" t="s">
        <v>11</v>
      </c>
      <c r="B2098" s="2" t="s">
        <v>29</v>
      </c>
      <c r="C2098" s="30">
        <v>0.5</v>
      </c>
      <c r="D2098" s="28">
        <f>YEAR(TableauFlitrage[[#This Row],[Date_d_adjudication]])</f>
        <v>2024</v>
      </c>
      <c r="E2098" s="28">
        <f t="shared" si="36"/>
        <v>6</v>
      </c>
      <c r="F2098" s="15">
        <v>45455</v>
      </c>
      <c r="G2098" s="28">
        <v>96.587500000000006</v>
      </c>
      <c r="H2098" s="15">
        <v>45639</v>
      </c>
      <c r="I2098">
        <v>20.033300000000001</v>
      </c>
      <c r="J2098">
        <v>15000</v>
      </c>
      <c r="K2098" s="28">
        <v>6.9885000000000002</v>
      </c>
    </row>
    <row r="2099" spans="1:12" x14ac:dyDescent="0.2">
      <c r="A2099" s="28" t="s">
        <v>11</v>
      </c>
      <c r="B2099" t="s">
        <v>30</v>
      </c>
      <c r="C2099" s="30" t="s">
        <v>53</v>
      </c>
      <c r="D2099" s="28">
        <f>YEAR(TableauFlitrage[[#This Row],[Date_d_adjudication]])</f>
        <v>2024</v>
      </c>
      <c r="E2099" s="28">
        <f t="shared" si="36"/>
        <v>6</v>
      </c>
      <c r="F2099" s="15">
        <v>45455</v>
      </c>
      <c r="G2099" s="28">
        <v>90.337100000000007</v>
      </c>
      <c r="H2099" s="15">
        <v>46187</v>
      </c>
      <c r="I2099">
        <v>54.536200000000001</v>
      </c>
      <c r="J2099">
        <v>40000</v>
      </c>
      <c r="K2099" s="28">
        <v>6</v>
      </c>
      <c r="L2099">
        <v>11.55</v>
      </c>
    </row>
    <row r="2100" spans="1:12" x14ac:dyDescent="0.2">
      <c r="A2100" s="28" t="s">
        <v>7</v>
      </c>
      <c r="B2100" s="2" t="s">
        <v>29</v>
      </c>
      <c r="C2100" s="30">
        <v>0.5</v>
      </c>
      <c r="D2100" s="28">
        <f>YEAR(TableauFlitrage[[#This Row],[Date_d_adjudication]])</f>
        <v>2024</v>
      </c>
      <c r="E2100" s="28">
        <f t="shared" si="36"/>
        <v>6</v>
      </c>
      <c r="F2100" s="15">
        <v>45460</v>
      </c>
      <c r="G2100" s="28">
        <v>96.729309999999998</v>
      </c>
      <c r="H2100" s="15">
        <v>45644</v>
      </c>
      <c r="I2100">
        <v>116.34</v>
      </c>
      <c r="J2100">
        <v>15000</v>
      </c>
      <c r="K2100" s="28">
        <v>6.6882000000000001</v>
      </c>
    </row>
    <row r="2101" spans="1:12" x14ac:dyDescent="0.2">
      <c r="A2101" s="28" t="s">
        <v>7</v>
      </c>
      <c r="B2101" t="s">
        <v>30</v>
      </c>
      <c r="C2101" s="30" t="s">
        <v>61</v>
      </c>
      <c r="D2101" s="28">
        <f>YEAR(TableauFlitrage[[#This Row],[Date_d_adjudication]])</f>
        <v>2024</v>
      </c>
      <c r="E2101" s="28">
        <f t="shared" si="36"/>
        <v>6</v>
      </c>
      <c r="F2101" s="15">
        <v>45460</v>
      </c>
      <c r="G2101" s="28">
        <v>98</v>
      </c>
      <c r="H2101" s="15">
        <v>49114</v>
      </c>
      <c r="I2101">
        <v>52.506</v>
      </c>
      <c r="J2101">
        <v>20000</v>
      </c>
      <c r="K2101" s="28">
        <v>7.7</v>
      </c>
      <c r="L2101">
        <v>7.99</v>
      </c>
    </row>
    <row r="2102" spans="1:12" x14ac:dyDescent="0.2">
      <c r="A2102" s="28" t="s">
        <v>10</v>
      </c>
      <c r="B2102" s="2" t="s">
        <v>29</v>
      </c>
      <c r="C2102" s="30">
        <v>1</v>
      </c>
      <c r="D2102" s="28">
        <f>YEAR(TableauFlitrage[[#This Row],[Date_d_adjudication]])</f>
        <v>2024</v>
      </c>
      <c r="E2102" s="28">
        <f t="shared" si="36"/>
        <v>6</v>
      </c>
      <c r="F2102" s="15">
        <v>45461</v>
      </c>
      <c r="G2102" s="28">
        <v>93.297004999999999</v>
      </c>
      <c r="H2102" s="15">
        <v>45827</v>
      </c>
      <c r="I2102">
        <v>69.674999999999997</v>
      </c>
      <c r="J2102">
        <v>20000</v>
      </c>
      <c r="K2102" s="28">
        <v>7.1055999999999999</v>
      </c>
    </row>
    <row r="2103" spans="1:12" x14ac:dyDescent="0.2">
      <c r="A2103" s="28" t="s">
        <v>9</v>
      </c>
      <c r="B2103" s="2" t="s">
        <v>29</v>
      </c>
      <c r="C2103" s="30">
        <v>0.5</v>
      </c>
      <c r="D2103" s="28">
        <f>YEAR(TableauFlitrage[[#This Row],[Date_d_adjudication]])</f>
        <v>2024</v>
      </c>
      <c r="E2103" s="28">
        <f t="shared" si="36"/>
        <v>6</v>
      </c>
      <c r="F2103" s="15">
        <v>45462</v>
      </c>
      <c r="G2103" s="28">
        <v>96.866692999999998</v>
      </c>
      <c r="H2103" s="15">
        <v>45646</v>
      </c>
      <c r="I2103">
        <v>143.75559999999999</v>
      </c>
      <c r="J2103">
        <v>9000</v>
      </c>
      <c r="K2103" s="28">
        <v>6.3982000000000001</v>
      </c>
    </row>
    <row r="2104" spans="1:12" x14ac:dyDescent="0.2">
      <c r="A2104" s="28" t="s">
        <v>11</v>
      </c>
      <c r="B2104" s="2" t="s">
        <v>29</v>
      </c>
      <c r="C2104" s="30">
        <v>0.5</v>
      </c>
      <c r="D2104" s="28">
        <f>YEAR(TableauFlitrage[[#This Row],[Date_d_adjudication]])</f>
        <v>2024</v>
      </c>
      <c r="E2104" s="28">
        <f t="shared" si="36"/>
        <v>6</v>
      </c>
      <c r="F2104" s="15">
        <v>45462</v>
      </c>
      <c r="G2104" s="28">
        <v>96.707802999999998</v>
      </c>
      <c r="H2104" s="15">
        <v>45646</v>
      </c>
      <c r="I2104">
        <v>83.553299999999993</v>
      </c>
      <c r="J2104">
        <v>15000</v>
      </c>
      <c r="K2104" s="28">
        <v>6.7336999999999998</v>
      </c>
    </row>
    <row r="2105" spans="1:12" x14ac:dyDescent="0.2">
      <c r="A2105" s="28" t="s">
        <v>11</v>
      </c>
      <c r="B2105" t="s">
        <v>30</v>
      </c>
      <c r="C2105" s="30" t="s">
        <v>54</v>
      </c>
      <c r="D2105" s="28">
        <f>YEAR(TableauFlitrage[[#This Row],[Date_d_adjudication]])</f>
        <v>2024</v>
      </c>
      <c r="E2105" s="28">
        <f t="shared" si="36"/>
        <v>6</v>
      </c>
      <c r="F2105" s="15">
        <v>45462</v>
      </c>
      <c r="G2105" s="28">
        <v>90.027000000000001</v>
      </c>
      <c r="H2105" s="15">
        <v>46559</v>
      </c>
      <c r="I2105">
        <v>45.584600000000002</v>
      </c>
      <c r="J2105">
        <v>30000</v>
      </c>
      <c r="K2105" s="28">
        <v>6.5</v>
      </c>
      <c r="L2105">
        <v>10.46</v>
      </c>
    </row>
    <row r="2106" spans="1:12" x14ac:dyDescent="0.2">
      <c r="A2106" s="28" t="s">
        <v>7</v>
      </c>
      <c r="B2106" s="2" t="s">
        <v>29</v>
      </c>
      <c r="C2106" s="30">
        <v>0.5</v>
      </c>
      <c r="D2106" s="28">
        <f>YEAR(TableauFlitrage[[#This Row],[Date_d_adjudication]])</f>
        <v>2024</v>
      </c>
      <c r="E2106" s="28">
        <f t="shared" si="36"/>
        <v>6</v>
      </c>
      <c r="F2106" s="15">
        <v>45467</v>
      </c>
      <c r="G2106" s="28">
        <v>96.668948999999998</v>
      </c>
      <c r="H2106" s="15">
        <v>45651</v>
      </c>
      <c r="I2106">
        <v>102.5288</v>
      </c>
      <c r="J2106">
        <v>125000</v>
      </c>
      <c r="K2106" s="28">
        <v>6.8159000000000001</v>
      </c>
    </row>
    <row r="2107" spans="1:12" x14ac:dyDescent="0.2">
      <c r="A2107" s="28" t="s">
        <v>7</v>
      </c>
      <c r="B2107" s="2" t="s">
        <v>29</v>
      </c>
      <c r="C2107" s="30">
        <v>0.5</v>
      </c>
      <c r="D2107" s="28">
        <f>YEAR(TableauFlitrage[[#This Row],[Date_d_adjudication]])</f>
        <v>2024</v>
      </c>
      <c r="E2107" s="28">
        <f t="shared" si="36"/>
        <v>6</v>
      </c>
      <c r="F2107" s="15">
        <v>45467</v>
      </c>
      <c r="G2107" s="28">
        <v>96.668948999999998</v>
      </c>
      <c r="H2107" s="15">
        <v>45651</v>
      </c>
      <c r="I2107">
        <v>67.666700000000006</v>
      </c>
      <c r="J2107">
        <v>15000</v>
      </c>
      <c r="K2107" s="28">
        <v>6.82</v>
      </c>
    </row>
    <row r="2108" spans="1:12" x14ac:dyDescent="0.2">
      <c r="A2108" s="28" t="s">
        <v>7</v>
      </c>
      <c r="B2108" t="s">
        <v>30</v>
      </c>
      <c r="C2108" s="30" t="s">
        <v>61</v>
      </c>
      <c r="D2108" s="28">
        <f>YEAR(TableauFlitrage[[#This Row],[Date_d_adjudication]])</f>
        <v>2024</v>
      </c>
      <c r="E2108" s="28">
        <f t="shared" si="36"/>
        <v>6</v>
      </c>
      <c r="F2108" s="15">
        <v>45467</v>
      </c>
      <c r="G2108" s="28">
        <v>97.6755</v>
      </c>
      <c r="H2108" s="15">
        <v>49121</v>
      </c>
      <c r="I2108">
        <v>114.6855</v>
      </c>
      <c r="J2108">
        <v>15000</v>
      </c>
      <c r="K2108" s="28">
        <v>7.7</v>
      </c>
      <c r="L2108">
        <v>8.0399999999999991</v>
      </c>
    </row>
    <row r="2109" spans="1:12" x14ac:dyDescent="0.2">
      <c r="A2109" s="28" t="s">
        <v>8</v>
      </c>
      <c r="B2109" s="2" t="s">
        <v>29</v>
      </c>
      <c r="C2109" s="30">
        <v>0.5</v>
      </c>
      <c r="D2109" s="28">
        <f>YEAR(TableauFlitrage[[#This Row],[Date_d_adjudication]])</f>
        <v>2024</v>
      </c>
      <c r="E2109" s="28">
        <f t="shared" si="36"/>
        <v>6</v>
      </c>
      <c r="F2109" s="15">
        <v>45468</v>
      </c>
      <c r="G2109" s="28">
        <v>96.731840000000005</v>
      </c>
      <c r="H2109" s="15">
        <v>45652</v>
      </c>
      <c r="I2109">
        <v>14.704000000000001</v>
      </c>
      <c r="J2109">
        <v>25000</v>
      </c>
      <c r="K2109" s="28">
        <v>6.6829000000000001</v>
      </c>
    </row>
    <row r="2110" spans="1:12" x14ac:dyDescent="0.2">
      <c r="A2110" s="28" t="s">
        <v>8</v>
      </c>
      <c r="B2110" s="2" t="s">
        <v>29</v>
      </c>
      <c r="C2110" s="30">
        <v>1</v>
      </c>
      <c r="D2110" s="28">
        <f>YEAR(TableauFlitrage[[#This Row],[Date_d_adjudication]])</f>
        <v>2024</v>
      </c>
      <c r="E2110" s="28">
        <f t="shared" si="36"/>
        <v>6</v>
      </c>
      <c r="F2110" s="15">
        <v>45468</v>
      </c>
      <c r="G2110" s="28">
        <v>92.992237000000003</v>
      </c>
      <c r="H2110" s="15">
        <v>45834</v>
      </c>
      <c r="I2110">
        <v>51.585000000000001</v>
      </c>
      <c r="J2110">
        <v>20000</v>
      </c>
      <c r="K2110" s="28">
        <v>7.4530000000000003</v>
      </c>
    </row>
    <row r="2111" spans="1:12" x14ac:dyDescent="0.2">
      <c r="A2111" s="28" t="s">
        <v>8</v>
      </c>
      <c r="B2111" t="s">
        <v>30</v>
      </c>
      <c r="C2111" s="30" t="s">
        <v>53</v>
      </c>
      <c r="D2111" s="28">
        <f>YEAR(TableauFlitrage[[#This Row],[Date_d_adjudication]])</f>
        <v>2024</v>
      </c>
      <c r="E2111" s="28">
        <f t="shared" si="36"/>
        <v>6</v>
      </c>
      <c r="F2111" s="15">
        <v>45468</v>
      </c>
      <c r="G2111" s="28">
        <v>90.980900000000005</v>
      </c>
      <c r="H2111" s="15">
        <v>46200</v>
      </c>
      <c r="I2111">
        <v>71.595200000000006</v>
      </c>
      <c r="J2111">
        <v>20000</v>
      </c>
      <c r="K2111" s="28">
        <v>6</v>
      </c>
      <c r="L2111">
        <v>11.16</v>
      </c>
    </row>
    <row r="2112" spans="1:12" x14ac:dyDescent="0.2">
      <c r="A2112" s="28" t="s">
        <v>8</v>
      </c>
      <c r="B2112" t="s">
        <v>30</v>
      </c>
      <c r="C2112" s="30" t="s">
        <v>54</v>
      </c>
      <c r="D2112" s="28">
        <f>YEAR(TableauFlitrage[[#This Row],[Date_d_adjudication]])</f>
        <v>2024</v>
      </c>
      <c r="E2112" s="28">
        <f t="shared" si="36"/>
        <v>6</v>
      </c>
      <c r="F2112" s="15">
        <v>45468</v>
      </c>
      <c r="G2112" s="28">
        <v>92.051299999999998</v>
      </c>
      <c r="H2112" s="15">
        <v>46565</v>
      </c>
      <c r="I2112">
        <v>10.013500000000001</v>
      </c>
      <c r="J2112">
        <v>20000</v>
      </c>
      <c r="K2112" s="28">
        <v>6.5</v>
      </c>
      <c r="L2112">
        <v>9.61</v>
      </c>
    </row>
    <row r="2113" spans="1:12" x14ac:dyDescent="0.2">
      <c r="A2113" s="28" t="s">
        <v>9</v>
      </c>
      <c r="B2113" s="2" t="s">
        <v>29</v>
      </c>
      <c r="C2113" s="30">
        <v>0.5</v>
      </c>
      <c r="D2113" s="28">
        <f>YEAR(TableauFlitrage[[#This Row],[Date_d_adjudication]])</f>
        <v>2024</v>
      </c>
      <c r="E2113" s="28">
        <f t="shared" si="36"/>
        <v>6</v>
      </c>
      <c r="F2113" s="15">
        <v>45469</v>
      </c>
      <c r="G2113" s="28">
        <v>96.766718999999995</v>
      </c>
      <c r="H2113" s="15">
        <v>45653</v>
      </c>
      <c r="I2113">
        <v>43.966700000000003</v>
      </c>
      <c r="J2113">
        <v>9000</v>
      </c>
      <c r="K2113" s="28">
        <v>6.6092000000000004</v>
      </c>
    </row>
    <row r="2114" spans="1:12" x14ac:dyDescent="0.2">
      <c r="A2114" s="28" t="s">
        <v>11</v>
      </c>
      <c r="B2114" t="s">
        <v>30</v>
      </c>
      <c r="C2114" s="30" t="s">
        <v>54</v>
      </c>
      <c r="D2114" s="28">
        <f>YEAR(TableauFlitrage[[#This Row],[Date_d_adjudication]])</f>
        <v>2024</v>
      </c>
      <c r="E2114" s="28">
        <f t="shared" si="36"/>
        <v>6</v>
      </c>
      <c r="F2114" s="15">
        <v>45469</v>
      </c>
      <c r="G2114" s="28">
        <v>90.200500000000005</v>
      </c>
      <c r="H2114" s="15">
        <v>46566</v>
      </c>
      <c r="I2114">
        <v>114.3312</v>
      </c>
      <c r="J2114">
        <v>10000</v>
      </c>
      <c r="K2114" s="28">
        <v>6.5</v>
      </c>
      <c r="L2114">
        <v>10.39</v>
      </c>
    </row>
    <row r="2115" spans="1:12" x14ac:dyDescent="0.2">
      <c r="A2115" s="28" t="s">
        <v>8</v>
      </c>
      <c r="B2115" t="s">
        <v>30</v>
      </c>
      <c r="C2115" s="30" t="s">
        <v>53</v>
      </c>
      <c r="D2115" s="28">
        <f>YEAR(TableauFlitrage[[#This Row],[Date_d_adjudication]])</f>
        <v>2024</v>
      </c>
      <c r="E2115" s="28">
        <f t="shared" si="36"/>
        <v>6</v>
      </c>
      <c r="F2115" s="15">
        <v>45473</v>
      </c>
      <c r="G2115" s="28">
        <v>90.393100000000004</v>
      </c>
      <c r="H2115" s="15">
        <v>46200</v>
      </c>
      <c r="I2115">
        <v>91.113299999999995</v>
      </c>
      <c r="J2115">
        <v>15000</v>
      </c>
      <c r="K2115" s="28">
        <v>6</v>
      </c>
      <c r="L2115">
        <v>11.51</v>
      </c>
    </row>
    <row r="2116" spans="1:12" x14ac:dyDescent="0.2">
      <c r="A2116" s="28" t="s">
        <v>8</v>
      </c>
      <c r="B2116" s="2" t="s">
        <v>29</v>
      </c>
      <c r="C2116" s="30">
        <v>0.5</v>
      </c>
      <c r="D2116" s="28">
        <f>YEAR(TableauFlitrage[[#This Row],[Date_d_adjudication]])</f>
        <v>2024</v>
      </c>
      <c r="E2116" s="28">
        <f t="shared" si="36"/>
        <v>7</v>
      </c>
      <c r="F2116" s="15">
        <v>45475</v>
      </c>
      <c r="G2116" s="28">
        <v>96.814449999999994</v>
      </c>
      <c r="H2116" s="15">
        <v>45659</v>
      </c>
      <c r="I2116">
        <v>8.0932999999999993</v>
      </c>
      <c r="J2116">
        <v>15000</v>
      </c>
      <c r="K2116" s="28">
        <v>6.5084</v>
      </c>
    </row>
    <row r="2117" spans="1:12" x14ac:dyDescent="0.2">
      <c r="A2117" s="28" t="s">
        <v>8</v>
      </c>
      <c r="B2117" s="2" t="s">
        <v>29</v>
      </c>
      <c r="C2117" s="30">
        <v>1</v>
      </c>
      <c r="D2117" s="28">
        <f>YEAR(TableauFlitrage[[#This Row],[Date_d_adjudication]])</f>
        <v>2024</v>
      </c>
      <c r="E2117" s="28">
        <f t="shared" si="36"/>
        <v>7</v>
      </c>
      <c r="F2117" s="15">
        <v>45475</v>
      </c>
      <c r="G2117" s="28">
        <v>93.058333000000005</v>
      </c>
      <c r="H2117" s="15">
        <v>45834</v>
      </c>
      <c r="I2117">
        <v>66.713300000000004</v>
      </c>
      <c r="J2117">
        <v>15000</v>
      </c>
      <c r="K2117" s="28">
        <v>7.5221999999999998</v>
      </c>
    </row>
    <row r="2118" spans="1:12" x14ac:dyDescent="0.2">
      <c r="A2118" s="28" t="s">
        <v>10</v>
      </c>
      <c r="B2118" s="2" t="s">
        <v>29</v>
      </c>
      <c r="C2118" s="30">
        <v>1</v>
      </c>
      <c r="D2118" s="28">
        <f>YEAR(TableauFlitrage[[#This Row],[Date_d_adjudication]])</f>
        <v>2024</v>
      </c>
      <c r="E2118" s="28">
        <f t="shared" si="36"/>
        <v>7</v>
      </c>
      <c r="F2118" s="15">
        <v>45475</v>
      </c>
      <c r="G2118" s="28">
        <v>93.273739000000006</v>
      </c>
      <c r="H2118" s="15">
        <v>45841</v>
      </c>
      <c r="I2118">
        <v>52.704999999999998</v>
      </c>
      <c r="J2118">
        <v>20000</v>
      </c>
      <c r="K2118" s="28">
        <v>7.1321000000000003</v>
      </c>
    </row>
    <row r="2119" spans="1:12" x14ac:dyDescent="0.2">
      <c r="A2119" s="28" t="s">
        <v>9</v>
      </c>
      <c r="B2119" s="2" t="s">
        <v>29</v>
      </c>
      <c r="C2119" s="30">
        <v>0.5</v>
      </c>
      <c r="D2119" s="28">
        <f>YEAR(TableauFlitrage[[#This Row],[Date_d_adjudication]])</f>
        <v>2024</v>
      </c>
      <c r="E2119" s="28">
        <f t="shared" si="36"/>
        <v>7</v>
      </c>
      <c r="F2119" s="15">
        <v>45476</v>
      </c>
      <c r="G2119" s="28">
        <v>96.813946999999999</v>
      </c>
      <c r="H2119" s="15">
        <v>45660</v>
      </c>
      <c r="I2119">
        <v>140.72219999999999</v>
      </c>
      <c r="J2119">
        <v>9000</v>
      </c>
      <c r="K2119" s="28">
        <v>6.5095000000000001</v>
      </c>
    </row>
    <row r="2120" spans="1:12" x14ac:dyDescent="0.2">
      <c r="A2120" s="28" t="s">
        <v>11</v>
      </c>
      <c r="B2120" t="s">
        <v>30</v>
      </c>
      <c r="C2120" s="30" t="s">
        <v>53</v>
      </c>
      <c r="D2120" s="28">
        <f>YEAR(TableauFlitrage[[#This Row],[Date_d_adjudication]])</f>
        <v>2024</v>
      </c>
      <c r="E2120" s="28">
        <f t="shared" si="36"/>
        <v>7</v>
      </c>
      <c r="F2120" s="15">
        <v>45476</v>
      </c>
      <c r="G2120" s="28">
        <v>90.066500000000005</v>
      </c>
      <c r="H2120" s="15">
        <v>46208</v>
      </c>
      <c r="I2120">
        <v>37.590000000000003</v>
      </c>
      <c r="J2120">
        <v>30000</v>
      </c>
      <c r="K2120" s="28">
        <v>6</v>
      </c>
      <c r="L2120">
        <v>11.72</v>
      </c>
    </row>
    <row r="2121" spans="1:12" x14ac:dyDescent="0.2">
      <c r="A2121" s="28" t="s">
        <v>7</v>
      </c>
      <c r="B2121" s="2" t="s">
        <v>29</v>
      </c>
      <c r="C2121" s="30">
        <v>0.5</v>
      </c>
      <c r="D2121" s="28">
        <f>YEAR(TableauFlitrage[[#This Row],[Date_d_adjudication]])</f>
        <v>2024</v>
      </c>
      <c r="E2121" s="28">
        <f t="shared" si="36"/>
        <v>7</v>
      </c>
      <c r="F2121" s="15">
        <v>45481</v>
      </c>
      <c r="G2121" s="28">
        <v>96.716369999999998</v>
      </c>
      <c r="H2121" s="15">
        <v>45665</v>
      </c>
      <c r="I2121">
        <v>60.692</v>
      </c>
      <c r="J2121">
        <v>25000</v>
      </c>
      <c r="K2121" s="28">
        <v>6.7156000000000002</v>
      </c>
    </row>
    <row r="2122" spans="1:12" x14ac:dyDescent="0.2">
      <c r="A2122" s="28" t="s">
        <v>8</v>
      </c>
      <c r="B2122" s="2" t="s">
        <v>29</v>
      </c>
      <c r="C2122" s="30">
        <v>0.25</v>
      </c>
      <c r="D2122" s="28">
        <f>YEAR(TableauFlitrage[[#This Row],[Date_d_adjudication]])</f>
        <v>2024</v>
      </c>
      <c r="E2122" s="28">
        <f t="shared" si="36"/>
        <v>7</v>
      </c>
      <c r="F2122" s="15">
        <v>45482</v>
      </c>
      <c r="G2122" s="28">
        <v>98.433063000000004</v>
      </c>
      <c r="H2122" s="15">
        <v>45575</v>
      </c>
      <c r="I2122">
        <v>138.4</v>
      </c>
      <c r="J2122">
        <v>15000</v>
      </c>
      <c r="K2122" s="28">
        <v>6.2976000000000001</v>
      </c>
    </row>
    <row r="2123" spans="1:12" x14ac:dyDescent="0.2">
      <c r="A2123" s="28" t="s">
        <v>8</v>
      </c>
      <c r="B2123" s="2" t="s">
        <v>29</v>
      </c>
      <c r="C2123" s="30">
        <v>1</v>
      </c>
      <c r="D2123" s="28">
        <f>YEAR(TableauFlitrage[[#This Row],[Date_d_adjudication]])</f>
        <v>2024</v>
      </c>
      <c r="E2123" s="28">
        <f t="shared" si="36"/>
        <v>7</v>
      </c>
      <c r="F2123" s="15">
        <v>45482</v>
      </c>
      <c r="G2123" s="28">
        <v>93.188272999999995</v>
      </c>
      <c r="H2123" s="15">
        <v>45848</v>
      </c>
      <c r="I2123">
        <v>43.52</v>
      </c>
      <c r="J2123">
        <v>10000</v>
      </c>
      <c r="K2123" s="28">
        <v>7.2293000000000003</v>
      </c>
    </row>
    <row r="2124" spans="1:12" x14ac:dyDescent="0.2">
      <c r="A2124" s="28" t="s">
        <v>10</v>
      </c>
      <c r="B2124" s="2" t="s">
        <v>29</v>
      </c>
      <c r="C2124" s="30">
        <v>1</v>
      </c>
      <c r="D2124" s="28">
        <f>YEAR(TableauFlitrage[[#This Row],[Date_d_adjudication]])</f>
        <v>2024</v>
      </c>
      <c r="E2124" s="28">
        <f t="shared" si="36"/>
        <v>7</v>
      </c>
      <c r="F2124" s="15">
        <v>45482</v>
      </c>
      <c r="G2124" s="28">
        <v>93.141430999999997</v>
      </c>
      <c r="H2124" s="15">
        <v>45848</v>
      </c>
      <c r="I2124">
        <v>100.3</v>
      </c>
      <c r="J2124">
        <v>10000</v>
      </c>
      <c r="K2124" s="28">
        <v>7.2827000000000002</v>
      </c>
    </row>
    <row r="2125" spans="1:12" x14ac:dyDescent="0.2">
      <c r="A2125" s="28" t="s">
        <v>11</v>
      </c>
      <c r="B2125" t="s">
        <v>30</v>
      </c>
      <c r="C2125" s="30" t="s">
        <v>53</v>
      </c>
      <c r="D2125" s="28">
        <f>YEAR(TableauFlitrage[[#This Row],[Date_d_adjudication]])</f>
        <v>2024</v>
      </c>
      <c r="E2125" s="28">
        <f t="shared" si="36"/>
        <v>7</v>
      </c>
      <c r="F2125" s="15">
        <v>45483</v>
      </c>
      <c r="G2125" s="28">
        <v>90.022400000000005</v>
      </c>
      <c r="H2125" s="15">
        <v>46215</v>
      </c>
      <c r="I2125">
        <v>57.4176</v>
      </c>
      <c r="J2125">
        <v>30000</v>
      </c>
      <c r="K2125" s="28">
        <v>6</v>
      </c>
      <c r="L2125">
        <v>11.74</v>
      </c>
    </row>
    <row r="2126" spans="1:12" x14ac:dyDescent="0.2">
      <c r="A2126" s="28" t="s">
        <v>7</v>
      </c>
      <c r="B2126" s="2" t="s">
        <v>29</v>
      </c>
      <c r="C2126" s="30">
        <v>1</v>
      </c>
      <c r="D2126" s="28">
        <f>YEAR(TableauFlitrage[[#This Row],[Date_d_adjudication]])</f>
        <v>2024</v>
      </c>
      <c r="E2126" s="28">
        <f t="shared" si="36"/>
        <v>7</v>
      </c>
      <c r="F2126" s="15">
        <v>45488</v>
      </c>
      <c r="G2126" s="28">
        <v>93.301841999999994</v>
      </c>
      <c r="H2126" s="15">
        <v>45854</v>
      </c>
      <c r="I2126">
        <v>31.7</v>
      </c>
      <c r="J2126">
        <v>15000</v>
      </c>
      <c r="K2126" s="28">
        <v>7.1001000000000003</v>
      </c>
    </row>
    <row r="2127" spans="1:12" x14ac:dyDescent="0.2">
      <c r="A2127" s="28" t="s">
        <v>9</v>
      </c>
      <c r="B2127" t="s">
        <v>30</v>
      </c>
      <c r="C2127" s="30" t="s">
        <v>55</v>
      </c>
      <c r="D2127" s="28">
        <f>YEAR(TableauFlitrage[[#This Row],[Date_d_adjudication]])</f>
        <v>2024</v>
      </c>
      <c r="E2127" s="28">
        <f t="shared" si="36"/>
        <v>7</v>
      </c>
      <c r="F2127" s="15">
        <v>45488</v>
      </c>
      <c r="G2127" s="28">
        <v>93.853800000000007</v>
      </c>
      <c r="H2127" s="15">
        <v>47102</v>
      </c>
      <c r="I2127">
        <v>100</v>
      </c>
      <c r="J2127">
        <v>10000</v>
      </c>
      <c r="K2127" s="28">
        <v>6.5</v>
      </c>
      <c r="L2127">
        <v>8.34</v>
      </c>
    </row>
    <row r="2128" spans="1:12" x14ac:dyDescent="0.2">
      <c r="A2128" s="28" t="s">
        <v>8</v>
      </c>
      <c r="B2128" s="2" t="s">
        <v>29</v>
      </c>
      <c r="C2128" s="30">
        <v>0.5</v>
      </c>
      <c r="D2128" s="28">
        <f>YEAR(TableauFlitrage[[#This Row],[Date_d_adjudication]])</f>
        <v>2024</v>
      </c>
      <c r="E2128" s="28">
        <f t="shared" si="36"/>
        <v>7</v>
      </c>
      <c r="F2128" s="15">
        <v>45489</v>
      </c>
      <c r="G2128" s="28">
        <v>96.632226000000003</v>
      </c>
      <c r="H2128" s="15">
        <v>45673</v>
      </c>
      <c r="I2128">
        <v>156.6</v>
      </c>
      <c r="J2128">
        <v>10000</v>
      </c>
      <c r="K2128" s="28">
        <v>6.8936999999999999</v>
      </c>
    </row>
    <row r="2129" spans="1:12" x14ac:dyDescent="0.2">
      <c r="A2129" s="28" t="s">
        <v>8</v>
      </c>
      <c r="B2129" s="2" t="s">
        <v>29</v>
      </c>
      <c r="C2129" s="30">
        <v>0.5</v>
      </c>
      <c r="D2129" s="28">
        <f>YEAR(TableauFlitrage[[#This Row],[Date_d_adjudication]])</f>
        <v>2024</v>
      </c>
      <c r="E2129" s="28">
        <f t="shared" si="36"/>
        <v>7</v>
      </c>
      <c r="F2129" s="15">
        <v>45490</v>
      </c>
      <c r="G2129" s="28">
        <v>96.632226000000003</v>
      </c>
      <c r="H2129" s="15">
        <v>45673</v>
      </c>
      <c r="I2129">
        <v>114.48</v>
      </c>
      <c r="J2129">
        <v>5000</v>
      </c>
      <c r="K2129" s="28">
        <v>6.8936999999999999</v>
      </c>
    </row>
    <row r="2130" spans="1:12" x14ac:dyDescent="0.2">
      <c r="A2130" s="28" t="s">
        <v>9</v>
      </c>
      <c r="B2130" s="2" t="s">
        <v>29</v>
      </c>
      <c r="C2130" s="30">
        <v>0.5</v>
      </c>
      <c r="D2130" s="28">
        <f>YEAR(TableauFlitrage[[#This Row],[Date_d_adjudication]])</f>
        <v>2024</v>
      </c>
      <c r="E2130" s="28">
        <f t="shared" si="36"/>
        <v>7</v>
      </c>
      <c r="F2130" s="15">
        <v>45490</v>
      </c>
      <c r="G2130" s="28">
        <v>98.755555999999999</v>
      </c>
      <c r="H2130" s="15">
        <v>45562</v>
      </c>
      <c r="I2130">
        <v>100</v>
      </c>
      <c r="J2130">
        <v>15000</v>
      </c>
      <c r="K2130" s="28">
        <v>6.4805999999999999</v>
      </c>
    </row>
    <row r="2131" spans="1:12" x14ac:dyDescent="0.2">
      <c r="A2131" s="28" t="s">
        <v>9</v>
      </c>
      <c r="B2131" s="2" t="s">
        <v>29</v>
      </c>
      <c r="C2131" s="30">
        <v>1</v>
      </c>
      <c r="D2131" s="28">
        <f>YEAR(TableauFlitrage[[#This Row],[Date_d_adjudication]])</f>
        <v>2024</v>
      </c>
      <c r="E2131" s="28">
        <f t="shared" si="36"/>
        <v>7</v>
      </c>
      <c r="F2131" s="15">
        <v>45490</v>
      </c>
      <c r="G2131" s="28">
        <v>93.427778000000004</v>
      </c>
      <c r="H2131" s="15">
        <v>45856</v>
      </c>
      <c r="I2131">
        <v>100</v>
      </c>
      <c r="J2131">
        <v>15000</v>
      </c>
      <c r="K2131" s="28">
        <v>6.9572000000000003</v>
      </c>
    </row>
    <row r="2132" spans="1:12" x14ac:dyDescent="0.2">
      <c r="A2132" s="28" t="s">
        <v>11</v>
      </c>
      <c r="B2132" s="2" t="s">
        <v>29</v>
      </c>
      <c r="C2132" s="30">
        <v>0.5</v>
      </c>
      <c r="D2132" s="28">
        <f>YEAR(TableauFlitrage[[#This Row],[Date_d_adjudication]])</f>
        <v>2024</v>
      </c>
      <c r="E2132" s="28">
        <f t="shared" si="36"/>
        <v>7</v>
      </c>
      <c r="F2132" s="15">
        <v>45490</v>
      </c>
      <c r="G2132" s="28">
        <v>96.720455000000001</v>
      </c>
      <c r="H2132" s="15">
        <v>45674</v>
      </c>
      <c r="I2132">
        <v>39.049999999999997</v>
      </c>
      <c r="J2132">
        <v>10000</v>
      </c>
      <c r="K2132" s="28">
        <v>6.7069999999999999</v>
      </c>
    </row>
    <row r="2133" spans="1:12" x14ac:dyDescent="0.2">
      <c r="A2133" s="28" t="s">
        <v>9</v>
      </c>
      <c r="B2133" t="s">
        <v>30</v>
      </c>
      <c r="C2133" s="30" t="s">
        <v>58</v>
      </c>
      <c r="D2133" s="28">
        <f>YEAR(TableauFlitrage[[#This Row],[Date_d_adjudication]])</f>
        <v>2024</v>
      </c>
      <c r="E2133" s="28">
        <f t="shared" si="36"/>
        <v>7</v>
      </c>
      <c r="F2133" s="15">
        <v>45490</v>
      </c>
      <c r="G2133" s="28">
        <v>94.733599999999996</v>
      </c>
      <c r="H2133" s="15">
        <v>47818</v>
      </c>
      <c r="I2133">
        <v>99.947400000000002</v>
      </c>
      <c r="J2133">
        <v>5000</v>
      </c>
      <c r="K2133" s="28">
        <v>7.5</v>
      </c>
      <c r="L2133">
        <v>8.64</v>
      </c>
    </row>
    <row r="2134" spans="1:12" x14ac:dyDescent="0.2">
      <c r="A2134" s="28" t="s">
        <v>9</v>
      </c>
      <c r="B2134" t="s">
        <v>30</v>
      </c>
      <c r="C2134" s="30" t="s">
        <v>54</v>
      </c>
      <c r="D2134" s="28">
        <f>YEAR(TableauFlitrage[[#This Row],[Date_d_adjudication]])</f>
        <v>2024</v>
      </c>
      <c r="E2134" s="28">
        <f t="shared" si="36"/>
        <v>7</v>
      </c>
      <c r="F2134" s="15">
        <v>45490</v>
      </c>
      <c r="G2134" s="28">
        <v>96.825100000000006</v>
      </c>
      <c r="H2134" s="15">
        <v>46035</v>
      </c>
      <c r="I2134">
        <v>100</v>
      </c>
      <c r="J2134">
        <v>20000</v>
      </c>
      <c r="K2134" s="28">
        <v>5.5</v>
      </c>
      <c r="L2134">
        <v>8.89</v>
      </c>
    </row>
    <row r="2135" spans="1:12" x14ac:dyDescent="0.2">
      <c r="A2135" s="28" t="s">
        <v>9</v>
      </c>
      <c r="B2135" t="s">
        <v>30</v>
      </c>
      <c r="C2135" s="30" t="s">
        <v>54</v>
      </c>
      <c r="D2135" s="28">
        <f>YEAR(TableauFlitrage[[#This Row],[Date_d_adjudication]])</f>
        <v>2024</v>
      </c>
      <c r="E2135" s="28">
        <f t="shared" si="36"/>
        <v>7</v>
      </c>
      <c r="F2135" s="15">
        <v>45490</v>
      </c>
      <c r="G2135" s="28">
        <v>91.199299999999994</v>
      </c>
      <c r="H2135" s="15">
        <v>46524</v>
      </c>
      <c r="I2135">
        <v>96.387299999999996</v>
      </c>
      <c r="J2135">
        <v>20000</v>
      </c>
      <c r="K2135" s="28">
        <v>5.5</v>
      </c>
      <c r="L2135">
        <v>8.91</v>
      </c>
    </row>
    <row r="2136" spans="1:12" x14ac:dyDescent="0.2">
      <c r="A2136" s="28" t="s">
        <v>9</v>
      </c>
      <c r="B2136" t="s">
        <v>30</v>
      </c>
      <c r="C2136" s="30" t="s">
        <v>56</v>
      </c>
      <c r="D2136" s="28">
        <f>YEAR(TableauFlitrage[[#This Row],[Date_d_adjudication]])</f>
        <v>2024</v>
      </c>
      <c r="E2136" s="28">
        <f t="shared" si="36"/>
        <v>7</v>
      </c>
      <c r="F2136" s="15">
        <v>45490</v>
      </c>
      <c r="G2136" s="28">
        <v>95.797899999999998</v>
      </c>
      <c r="H2136" s="15">
        <v>46092</v>
      </c>
      <c r="I2136">
        <v>100</v>
      </c>
      <c r="J2136">
        <v>22500</v>
      </c>
      <c r="K2136" s="28">
        <v>5.75</v>
      </c>
      <c r="L2136">
        <v>8.07</v>
      </c>
    </row>
    <row r="2137" spans="1:12" x14ac:dyDescent="0.2">
      <c r="A2137" s="28" t="s">
        <v>9</v>
      </c>
      <c r="B2137" t="s">
        <v>30</v>
      </c>
      <c r="C2137" s="30" t="s">
        <v>56</v>
      </c>
      <c r="D2137" s="28">
        <f>YEAR(TableauFlitrage[[#This Row],[Date_d_adjudication]])</f>
        <v>2024</v>
      </c>
      <c r="E2137" s="28">
        <f t="shared" si="36"/>
        <v>7</v>
      </c>
      <c r="F2137" s="15">
        <v>45490</v>
      </c>
      <c r="G2137" s="28">
        <v>94.4452</v>
      </c>
      <c r="H2137" s="15">
        <v>46162</v>
      </c>
      <c r="I2137">
        <v>100</v>
      </c>
      <c r="J2137">
        <v>22500</v>
      </c>
      <c r="K2137" s="28">
        <v>5.75</v>
      </c>
      <c r="L2137">
        <v>8.84</v>
      </c>
    </row>
    <row r="2138" spans="1:12" x14ac:dyDescent="0.2">
      <c r="A2138" s="28" t="s">
        <v>9</v>
      </c>
      <c r="B2138" t="s">
        <v>30</v>
      </c>
      <c r="C2138" s="30" t="s">
        <v>56</v>
      </c>
      <c r="D2138" s="28">
        <f>YEAR(TableauFlitrage[[#This Row],[Date_d_adjudication]])</f>
        <v>2024</v>
      </c>
      <c r="E2138" s="28">
        <f t="shared" si="36"/>
        <v>7</v>
      </c>
      <c r="F2138" s="15">
        <v>45490</v>
      </c>
      <c r="G2138" s="28">
        <v>95.503399999999999</v>
      </c>
      <c r="H2138" s="15">
        <v>46365</v>
      </c>
      <c r="I2138">
        <v>69.226299999999995</v>
      </c>
      <c r="J2138">
        <v>20000</v>
      </c>
      <c r="K2138" s="28">
        <v>5.75</v>
      </c>
      <c r="L2138">
        <v>8.23</v>
      </c>
    </row>
    <row r="2139" spans="1:12" x14ac:dyDescent="0.2">
      <c r="A2139" s="28" t="s">
        <v>11</v>
      </c>
      <c r="B2139" t="s">
        <v>30</v>
      </c>
      <c r="C2139" s="30" t="s">
        <v>53</v>
      </c>
      <c r="D2139" s="28">
        <f>YEAR(TableauFlitrage[[#This Row],[Date_d_adjudication]])</f>
        <v>2024</v>
      </c>
      <c r="E2139" s="28">
        <f t="shared" si="36"/>
        <v>7</v>
      </c>
      <c r="F2139" s="15">
        <v>45490</v>
      </c>
      <c r="G2139" s="28">
        <v>90.872900000000001</v>
      </c>
      <c r="H2139" s="15">
        <v>46222</v>
      </c>
      <c r="I2139">
        <v>40.028199999999998</v>
      </c>
      <c r="J2139">
        <v>15000</v>
      </c>
      <c r="K2139" s="28">
        <v>6</v>
      </c>
      <c r="L2139">
        <v>11.22</v>
      </c>
    </row>
    <row r="2140" spans="1:12" x14ac:dyDescent="0.2">
      <c r="A2140" s="28" t="s">
        <v>7</v>
      </c>
      <c r="B2140" s="2" t="s">
        <v>29</v>
      </c>
      <c r="C2140" s="30">
        <v>0.5</v>
      </c>
      <c r="D2140" s="28">
        <f>YEAR(TableauFlitrage[[#This Row],[Date_d_adjudication]])</f>
        <v>2024</v>
      </c>
      <c r="E2140" s="28">
        <f t="shared" si="36"/>
        <v>7</v>
      </c>
      <c r="F2140" s="15">
        <v>45495</v>
      </c>
      <c r="G2140" s="28">
        <v>96.671565000000001</v>
      </c>
      <c r="H2140" s="15">
        <v>45679</v>
      </c>
      <c r="I2140">
        <v>63.05</v>
      </c>
      <c r="J2140">
        <v>10000</v>
      </c>
      <c r="K2140" s="28">
        <v>6.8103999999999996</v>
      </c>
    </row>
    <row r="2141" spans="1:12" x14ac:dyDescent="0.2">
      <c r="A2141" s="28" t="s">
        <v>8</v>
      </c>
      <c r="B2141" s="2" t="s">
        <v>29</v>
      </c>
      <c r="C2141" s="30">
        <v>1</v>
      </c>
      <c r="D2141" s="28">
        <f>YEAR(TableauFlitrage[[#This Row],[Date_d_adjudication]])</f>
        <v>2024</v>
      </c>
      <c r="E2141" s="28">
        <f t="shared" si="36"/>
        <v>7</v>
      </c>
      <c r="F2141" s="15">
        <v>45496</v>
      </c>
      <c r="G2141" s="28">
        <v>93.306574999999995</v>
      </c>
      <c r="H2141" s="15">
        <v>45862</v>
      </c>
      <c r="I2141">
        <v>12.38</v>
      </c>
      <c r="J2141">
        <v>10000</v>
      </c>
      <c r="K2141" s="28">
        <v>7.0948000000000002</v>
      </c>
    </row>
    <row r="2142" spans="1:12" x14ac:dyDescent="0.2">
      <c r="A2142" s="28" t="s">
        <v>8</v>
      </c>
      <c r="B2142" s="2" t="s">
        <v>29</v>
      </c>
      <c r="C2142" s="30">
        <v>0.25</v>
      </c>
      <c r="D2142" s="28">
        <f>YEAR(TableauFlitrage[[#This Row],[Date_d_adjudication]])</f>
        <v>2024</v>
      </c>
      <c r="E2142" s="28">
        <f t="shared" si="36"/>
        <v>7</v>
      </c>
      <c r="F2142" s="15">
        <v>45496</v>
      </c>
      <c r="G2142" s="28">
        <v>98.330920000000006</v>
      </c>
      <c r="H2142" s="15">
        <v>45589</v>
      </c>
      <c r="I2142">
        <v>78.67</v>
      </c>
      <c r="J2142">
        <v>20000</v>
      </c>
      <c r="K2142" s="28">
        <v>6.7149999999999999</v>
      </c>
    </row>
    <row r="2143" spans="1:12" x14ac:dyDescent="0.2">
      <c r="A2143" s="28" t="s">
        <v>8</v>
      </c>
      <c r="B2143" t="s">
        <v>30</v>
      </c>
      <c r="C2143" s="30" t="s">
        <v>53</v>
      </c>
      <c r="D2143" s="28">
        <f>YEAR(TableauFlitrage[[#This Row],[Date_d_adjudication]])</f>
        <v>2024</v>
      </c>
      <c r="E2143" s="28">
        <f t="shared" si="36"/>
        <v>7</v>
      </c>
      <c r="F2143" s="15">
        <v>45496</v>
      </c>
      <c r="G2143" s="28">
        <v>90.100300000000004</v>
      </c>
      <c r="H2143" s="15">
        <v>46228</v>
      </c>
      <c r="I2143">
        <v>69.566699999999997</v>
      </c>
      <c r="J2143">
        <v>15000</v>
      </c>
      <c r="K2143" s="28">
        <v>5.5</v>
      </c>
      <c r="L2143">
        <v>11.16</v>
      </c>
    </row>
    <row r="2144" spans="1:12" x14ac:dyDescent="0.2">
      <c r="A2144" s="28" t="s">
        <v>9</v>
      </c>
      <c r="B2144" s="2" t="s">
        <v>29</v>
      </c>
      <c r="C2144" s="30">
        <v>0.5</v>
      </c>
      <c r="D2144" s="28">
        <f>YEAR(TableauFlitrage[[#This Row],[Date_d_adjudication]])</f>
        <v>2024</v>
      </c>
      <c r="E2144" s="28">
        <f t="shared" si="36"/>
        <v>7</v>
      </c>
      <c r="F2144" s="15">
        <v>45497</v>
      </c>
      <c r="G2144" s="28">
        <v>96.737386999999998</v>
      </c>
      <c r="H2144" s="15">
        <v>45681</v>
      </c>
      <c r="I2144">
        <v>72.39</v>
      </c>
      <c r="J2144">
        <v>10000</v>
      </c>
      <c r="K2144" s="28">
        <v>6.6711999999999998</v>
      </c>
    </row>
    <row r="2145" spans="1:12" x14ac:dyDescent="0.2">
      <c r="A2145" s="28" t="s">
        <v>11</v>
      </c>
      <c r="B2145" t="s">
        <v>30</v>
      </c>
      <c r="C2145" s="30" t="s">
        <v>53</v>
      </c>
      <c r="D2145" s="28">
        <f>YEAR(TableauFlitrage[[#This Row],[Date_d_adjudication]])</f>
        <v>2024</v>
      </c>
      <c r="E2145" s="28">
        <f t="shared" si="36"/>
        <v>7</v>
      </c>
      <c r="F2145" s="15">
        <v>45497</v>
      </c>
      <c r="G2145" s="28">
        <v>90.314300000000003</v>
      </c>
      <c r="H2145" s="15">
        <v>46229</v>
      </c>
      <c r="I2145">
        <v>59.543300000000002</v>
      </c>
      <c r="J2145">
        <v>30000</v>
      </c>
      <c r="K2145" s="28">
        <v>6</v>
      </c>
      <c r="L2145">
        <v>11.56</v>
      </c>
    </row>
    <row r="2146" spans="1:12" x14ac:dyDescent="0.2">
      <c r="A2146" s="28" t="s">
        <v>8</v>
      </c>
      <c r="B2146" s="2" t="s">
        <v>29</v>
      </c>
      <c r="C2146" s="30">
        <v>0.25</v>
      </c>
      <c r="D2146" s="28">
        <f>YEAR(TableauFlitrage[[#This Row],[Date_d_adjudication]])</f>
        <v>2024</v>
      </c>
      <c r="E2146" s="28">
        <f t="shared" si="36"/>
        <v>7</v>
      </c>
      <c r="F2146" s="15">
        <v>45503</v>
      </c>
      <c r="G2146" s="28">
        <v>98.427030999999999</v>
      </c>
      <c r="H2146" s="15">
        <v>45596</v>
      </c>
      <c r="I2146">
        <v>32.674999999999997</v>
      </c>
      <c r="J2146">
        <v>20000</v>
      </c>
      <c r="K2146" s="28">
        <v>6.3221999999999996</v>
      </c>
    </row>
    <row r="2147" spans="1:12" x14ac:dyDescent="0.2">
      <c r="A2147" s="28" t="s">
        <v>8</v>
      </c>
      <c r="B2147" s="2" t="s">
        <v>29</v>
      </c>
      <c r="C2147" s="30">
        <v>0.5</v>
      </c>
      <c r="D2147" s="28">
        <f>YEAR(TableauFlitrage[[#This Row],[Date_d_adjudication]])</f>
        <v>2024</v>
      </c>
      <c r="E2147" s="28">
        <f t="shared" si="36"/>
        <v>7</v>
      </c>
      <c r="F2147" s="15">
        <v>45503</v>
      </c>
      <c r="G2147" s="28">
        <v>96.595806999999994</v>
      </c>
      <c r="H2147" s="15">
        <v>45687</v>
      </c>
      <c r="I2147">
        <v>35.386699999999998</v>
      </c>
      <c r="J2147">
        <v>15000</v>
      </c>
      <c r="K2147" s="28">
        <v>6.9709000000000003</v>
      </c>
    </row>
    <row r="2148" spans="1:12" x14ac:dyDescent="0.2">
      <c r="A2148" s="28" t="s">
        <v>8</v>
      </c>
      <c r="B2148" t="s">
        <v>30</v>
      </c>
      <c r="C2148" s="30" t="s">
        <v>53</v>
      </c>
      <c r="D2148" s="28">
        <f>YEAR(TableauFlitrage[[#This Row],[Date_d_adjudication]])</f>
        <v>2024</v>
      </c>
      <c r="E2148" s="28">
        <f t="shared" si="36"/>
        <v>7</v>
      </c>
      <c r="F2148" s="15">
        <v>45503</v>
      </c>
      <c r="G2148" s="28">
        <v>90.109399999999994</v>
      </c>
      <c r="H2148" s="15">
        <v>46228</v>
      </c>
      <c r="I2148">
        <v>51.25</v>
      </c>
      <c r="J2148">
        <v>10000</v>
      </c>
      <c r="K2148" s="28">
        <v>5.5</v>
      </c>
      <c r="L2148">
        <v>11.15</v>
      </c>
    </row>
    <row r="2149" spans="1:12" x14ac:dyDescent="0.2">
      <c r="A2149" s="28" t="s">
        <v>9</v>
      </c>
      <c r="B2149" s="2" t="s">
        <v>29</v>
      </c>
      <c r="C2149" s="30">
        <v>0.5</v>
      </c>
      <c r="D2149" s="28">
        <f>YEAR(TableauFlitrage[[#This Row],[Date_d_adjudication]])</f>
        <v>2024</v>
      </c>
      <c r="E2149" s="28">
        <f t="shared" si="36"/>
        <v>7</v>
      </c>
      <c r="F2149" s="15">
        <v>45504</v>
      </c>
      <c r="G2149" s="28">
        <v>96.744119999999995</v>
      </c>
      <c r="H2149" s="15">
        <v>45688</v>
      </c>
      <c r="I2149">
        <v>39.9818</v>
      </c>
      <c r="J2149">
        <v>11000</v>
      </c>
      <c r="K2149" s="28">
        <v>6.6569000000000003</v>
      </c>
    </row>
    <row r="2150" spans="1:12" x14ac:dyDescent="0.2">
      <c r="A2150" s="28" t="s">
        <v>9</v>
      </c>
      <c r="B2150" t="s">
        <v>30</v>
      </c>
      <c r="C2150" s="30" t="s">
        <v>55</v>
      </c>
      <c r="D2150" s="28">
        <f>YEAR(TableauFlitrage[[#This Row],[Date_d_adjudication]])</f>
        <v>2024</v>
      </c>
      <c r="E2150" s="28">
        <f t="shared" si="36"/>
        <v>7</v>
      </c>
      <c r="F2150" s="15">
        <v>45504</v>
      </c>
      <c r="G2150" s="28">
        <v>95.029300000000006</v>
      </c>
      <c r="H2150" s="15">
        <v>47088</v>
      </c>
      <c r="I2150">
        <v>57.207999999999998</v>
      </c>
      <c r="J2150">
        <v>12500</v>
      </c>
      <c r="K2150" s="28">
        <v>6.75</v>
      </c>
      <c r="L2150">
        <v>8.23</v>
      </c>
    </row>
    <row r="2151" spans="1:12" x14ac:dyDescent="0.2">
      <c r="A2151" s="28" t="s">
        <v>9</v>
      </c>
      <c r="B2151" t="s">
        <v>30</v>
      </c>
      <c r="C2151" s="30" t="s">
        <v>54</v>
      </c>
      <c r="D2151" s="28">
        <f>YEAR(TableauFlitrage[[#This Row],[Date_d_adjudication]])</f>
        <v>2024</v>
      </c>
      <c r="E2151" s="28">
        <f t="shared" si="36"/>
        <v>7</v>
      </c>
      <c r="F2151" s="15">
        <v>45504</v>
      </c>
      <c r="G2151" s="28">
        <v>92.279899999999998</v>
      </c>
      <c r="H2151" s="15">
        <v>46140</v>
      </c>
      <c r="I2151">
        <v>100.13330000000001</v>
      </c>
      <c r="J2151">
        <v>7500</v>
      </c>
      <c r="K2151" s="28">
        <v>5.5</v>
      </c>
      <c r="L2151">
        <v>9.85</v>
      </c>
    </row>
    <row r="2152" spans="1:12" x14ac:dyDescent="0.2">
      <c r="A2152" s="28" t="s">
        <v>11</v>
      </c>
      <c r="B2152" t="s">
        <v>30</v>
      </c>
      <c r="C2152" s="30" t="s">
        <v>53</v>
      </c>
      <c r="D2152" s="28">
        <f>YEAR(TableauFlitrage[[#This Row],[Date_d_adjudication]])</f>
        <v>2024</v>
      </c>
      <c r="E2152" s="28">
        <f t="shared" si="36"/>
        <v>7</v>
      </c>
      <c r="F2152" s="15">
        <v>45504</v>
      </c>
      <c r="G2152" s="28">
        <v>92.559299999999993</v>
      </c>
      <c r="H2152" s="15">
        <v>46236</v>
      </c>
      <c r="I2152">
        <v>54.020400000000002</v>
      </c>
      <c r="J2152">
        <v>40000</v>
      </c>
      <c r="K2152" s="28">
        <v>6.5</v>
      </c>
      <c r="L2152">
        <v>10.73</v>
      </c>
    </row>
    <row r="2153" spans="1:12" x14ac:dyDescent="0.2">
      <c r="A2153" s="28" t="s">
        <v>8</v>
      </c>
      <c r="B2153" s="2" t="s">
        <v>29</v>
      </c>
      <c r="C2153" s="30">
        <v>0.25</v>
      </c>
      <c r="D2153" s="28">
        <f>YEAR(TableauFlitrage[[#This Row],[Date_d_adjudication]])</f>
        <v>2024</v>
      </c>
      <c r="E2153" s="28">
        <f t="shared" si="36"/>
        <v>8</v>
      </c>
      <c r="F2153" s="15">
        <v>45510</v>
      </c>
      <c r="G2153" s="28">
        <v>98.419651000000002</v>
      </c>
      <c r="H2153" s="15">
        <v>45603</v>
      </c>
      <c r="I2153">
        <v>111.58499999999999</v>
      </c>
      <c r="J2153">
        <v>20000</v>
      </c>
      <c r="K2153" s="28">
        <v>6.3525</v>
      </c>
    </row>
    <row r="2154" spans="1:12" x14ac:dyDescent="0.2">
      <c r="A2154" s="28" t="s">
        <v>8</v>
      </c>
      <c r="B2154" s="2" t="s">
        <v>29</v>
      </c>
      <c r="C2154" s="30">
        <v>0.5</v>
      </c>
      <c r="D2154" s="28">
        <f>YEAR(TableauFlitrage[[#This Row],[Date_d_adjudication]])</f>
        <v>2024</v>
      </c>
      <c r="E2154" s="28">
        <f t="shared" si="36"/>
        <v>8</v>
      </c>
      <c r="F2154" s="15">
        <v>45510</v>
      </c>
      <c r="G2154" s="28">
        <v>96.610523999999998</v>
      </c>
      <c r="H2154" s="15">
        <v>45694</v>
      </c>
      <c r="I2154">
        <v>45.38</v>
      </c>
      <c r="J2154">
        <v>15000</v>
      </c>
      <c r="K2154" s="28">
        <v>6.9397000000000002</v>
      </c>
    </row>
    <row r="2155" spans="1:12" x14ac:dyDescent="0.2">
      <c r="A2155" s="28" t="s">
        <v>8</v>
      </c>
      <c r="B2155" s="2" t="s">
        <v>29</v>
      </c>
      <c r="C2155" s="30">
        <v>1</v>
      </c>
      <c r="D2155" s="28">
        <f>YEAR(TableauFlitrage[[#This Row],[Date_d_adjudication]])</f>
        <v>2024</v>
      </c>
      <c r="E2155" s="28">
        <f t="shared" si="36"/>
        <v>8</v>
      </c>
      <c r="F2155" s="15">
        <v>45510</v>
      </c>
      <c r="G2155" s="28">
        <v>92.947441699999999</v>
      </c>
      <c r="H2155" s="15">
        <v>45876</v>
      </c>
      <c r="I2155">
        <v>95.446700000000007</v>
      </c>
      <c r="J2155">
        <v>15000</v>
      </c>
      <c r="K2155" s="28">
        <v>7.5042999999999997</v>
      </c>
    </row>
    <row r="2156" spans="1:12" x14ac:dyDescent="0.2">
      <c r="A2156" s="28" t="s">
        <v>10</v>
      </c>
      <c r="B2156" s="2" t="s">
        <v>29</v>
      </c>
      <c r="C2156" s="30">
        <v>0.5</v>
      </c>
      <c r="D2156" s="28">
        <f>YEAR(TableauFlitrage[[#This Row],[Date_d_adjudication]])</f>
        <v>2024</v>
      </c>
      <c r="E2156" s="28">
        <f t="shared" ref="E2156:E2210" si="37">MONTH(F2156)</f>
        <v>8</v>
      </c>
      <c r="F2156" s="15">
        <v>45510</v>
      </c>
      <c r="G2156" s="28">
        <v>96.840277999999998</v>
      </c>
      <c r="H2156" s="15">
        <v>45694</v>
      </c>
      <c r="I2156">
        <v>5</v>
      </c>
      <c r="J2156">
        <v>15000</v>
      </c>
      <c r="K2156" s="28">
        <v>6.4539</v>
      </c>
    </row>
    <row r="2157" spans="1:12" x14ac:dyDescent="0.2">
      <c r="A2157" s="28" t="s">
        <v>8</v>
      </c>
      <c r="B2157" t="s">
        <v>30</v>
      </c>
      <c r="C2157" s="30" t="s">
        <v>53</v>
      </c>
      <c r="D2157" s="28">
        <f>YEAR(TableauFlitrage[[#This Row],[Date_d_adjudication]])</f>
        <v>2024</v>
      </c>
      <c r="E2157" s="28">
        <f t="shared" si="37"/>
        <v>8</v>
      </c>
      <c r="F2157" s="15">
        <v>45510</v>
      </c>
      <c r="G2157" s="28">
        <v>92.643600000000006</v>
      </c>
      <c r="H2157" s="15">
        <v>46242</v>
      </c>
      <c r="I2157">
        <v>13.291499999999999</v>
      </c>
      <c r="J2157">
        <v>10000</v>
      </c>
      <c r="K2157" s="28">
        <v>5.5</v>
      </c>
      <c r="L2157">
        <v>9.6300000000000008</v>
      </c>
    </row>
    <row r="2158" spans="1:12" x14ac:dyDescent="0.2">
      <c r="A2158" s="28" t="s">
        <v>9</v>
      </c>
      <c r="B2158" s="2" t="s">
        <v>29</v>
      </c>
      <c r="C2158" s="30">
        <v>1</v>
      </c>
      <c r="D2158" s="28">
        <f>YEAR(TableauFlitrage[[#This Row],[Date_d_adjudication]])</f>
        <v>2024</v>
      </c>
      <c r="E2158" s="28">
        <f t="shared" si="37"/>
        <v>8</v>
      </c>
      <c r="F2158" s="15">
        <v>45511</v>
      </c>
      <c r="G2158" s="28">
        <v>93.277990000000003</v>
      </c>
      <c r="H2158" s="15">
        <v>45877</v>
      </c>
      <c r="I2158">
        <v>64.251900000000006</v>
      </c>
      <c r="J2158">
        <v>13500</v>
      </c>
      <c r="K2158" s="28">
        <v>7.1272000000000002</v>
      </c>
    </row>
    <row r="2159" spans="1:12" x14ac:dyDescent="0.2">
      <c r="A2159" s="28" t="s">
        <v>11</v>
      </c>
      <c r="B2159" t="s">
        <v>30</v>
      </c>
      <c r="C2159" s="30" t="s">
        <v>54</v>
      </c>
      <c r="D2159" s="28">
        <f>YEAR(TableauFlitrage[[#This Row],[Date_d_adjudication]])</f>
        <v>2024</v>
      </c>
      <c r="E2159" s="28">
        <f t="shared" si="37"/>
        <v>8</v>
      </c>
      <c r="F2159" s="15">
        <v>45511</v>
      </c>
      <c r="G2159" s="28">
        <v>90.060199999999995</v>
      </c>
      <c r="H2159" s="15">
        <v>46608</v>
      </c>
      <c r="I2159">
        <v>7.75</v>
      </c>
      <c r="J2159">
        <v>30000</v>
      </c>
      <c r="K2159" s="28">
        <v>6.5</v>
      </c>
      <c r="L2159">
        <v>10.45</v>
      </c>
    </row>
    <row r="2160" spans="1:12" x14ac:dyDescent="0.2">
      <c r="A2160" s="28" t="s">
        <v>7</v>
      </c>
      <c r="B2160" s="2" t="s">
        <v>29</v>
      </c>
      <c r="C2160" s="30">
        <v>0.5</v>
      </c>
      <c r="D2160" s="28">
        <f>YEAR(TableauFlitrage[[#This Row],[Date_d_adjudication]])</f>
        <v>2024</v>
      </c>
      <c r="E2160" s="28">
        <f t="shared" si="37"/>
        <v>8</v>
      </c>
      <c r="F2160" s="15">
        <v>45516</v>
      </c>
      <c r="G2160" s="28">
        <v>96.841149000000001</v>
      </c>
      <c r="H2160" s="15">
        <v>45700</v>
      </c>
      <c r="I2160">
        <v>44.34</v>
      </c>
      <c r="J2160">
        <v>15000</v>
      </c>
      <c r="K2160" s="28">
        <v>6.4520999999999997</v>
      </c>
    </row>
    <row r="2161" spans="1:12" x14ac:dyDescent="0.2">
      <c r="A2161" s="28" t="s">
        <v>8</v>
      </c>
      <c r="B2161" s="2" t="s">
        <v>29</v>
      </c>
      <c r="C2161" s="30">
        <v>0.25</v>
      </c>
      <c r="D2161" s="28">
        <f>YEAR(TableauFlitrage[[#This Row],[Date_d_adjudication]])</f>
        <v>2024</v>
      </c>
      <c r="E2161" s="28">
        <f t="shared" si="37"/>
        <v>8</v>
      </c>
      <c r="F2161" s="15">
        <v>45517</v>
      </c>
      <c r="G2161" s="28">
        <v>98.412778000000003</v>
      </c>
      <c r="H2161" s="15">
        <v>45610</v>
      </c>
      <c r="I2161">
        <v>75.86</v>
      </c>
      <c r="J2161">
        <v>15000</v>
      </c>
      <c r="K2161" s="28">
        <v>6.3803999999999998</v>
      </c>
    </row>
    <row r="2162" spans="1:12" x14ac:dyDescent="0.2">
      <c r="A2162" s="28" t="s">
        <v>9</v>
      </c>
      <c r="B2162" s="2" t="s">
        <v>29</v>
      </c>
      <c r="C2162" s="30">
        <v>0.25</v>
      </c>
      <c r="D2162" s="28">
        <f>YEAR(TableauFlitrage[[#This Row],[Date_d_adjudication]])</f>
        <v>2024</v>
      </c>
      <c r="E2162" s="28">
        <f t="shared" si="37"/>
        <v>8</v>
      </c>
      <c r="F2162" s="15">
        <v>45518</v>
      </c>
      <c r="G2162" s="28">
        <v>98.431182000000007</v>
      </c>
      <c r="H2162" s="15">
        <v>45611</v>
      </c>
      <c r="I2162">
        <v>89.1</v>
      </c>
      <c r="J2162">
        <v>10000</v>
      </c>
      <c r="K2162" s="28">
        <v>6.3052000000000001</v>
      </c>
    </row>
    <row r="2163" spans="1:12" x14ac:dyDescent="0.2">
      <c r="A2163" s="28" t="s">
        <v>9</v>
      </c>
      <c r="B2163" s="2" t="s">
        <v>29</v>
      </c>
      <c r="C2163" s="30">
        <v>0.5</v>
      </c>
      <c r="D2163" s="28">
        <f>YEAR(TableauFlitrage[[#This Row],[Date_d_adjudication]])</f>
        <v>2024</v>
      </c>
      <c r="E2163" s="28">
        <f t="shared" si="37"/>
        <v>8</v>
      </c>
      <c r="F2163" s="15">
        <v>45518</v>
      </c>
      <c r="G2163" s="28">
        <v>97.639581000000007</v>
      </c>
      <c r="H2163" s="15">
        <v>45653</v>
      </c>
      <c r="I2163">
        <v>86.16</v>
      </c>
      <c r="J2163">
        <v>7500</v>
      </c>
      <c r="K2163" s="28">
        <v>6.5435999999999996</v>
      </c>
    </row>
    <row r="2164" spans="1:12" x14ac:dyDescent="0.2">
      <c r="A2164" s="28" t="s">
        <v>11</v>
      </c>
      <c r="B2164" t="s">
        <v>30</v>
      </c>
      <c r="C2164" s="30" t="s">
        <v>54</v>
      </c>
      <c r="D2164" s="28">
        <f>YEAR(TableauFlitrage[[#This Row],[Date_d_adjudication]])</f>
        <v>2024</v>
      </c>
      <c r="E2164" s="28">
        <f t="shared" si="37"/>
        <v>8</v>
      </c>
      <c r="F2164" s="15">
        <v>45518</v>
      </c>
      <c r="G2164" s="28">
        <v>90.013300000000001</v>
      </c>
      <c r="H2164" s="15">
        <v>46615</v>
      </c>
      <c r="I2164">
        <v>39.132300000000001</v>
      </c>
      <c r="J2164">
        <v>30000</v>
      </c>
      <c r="K2164" s="28">
        <v>6.5</v>
      </c>
      <c r="L2164">
        <v>10.46</v>
      </c>
    </row>
    <row r="2165" spans="1:12" x14ac:dyDescent="0.2">
      <c r="A2165" s="28" t="s">
        <v>7</v>
      </c>
      <c r="B2165" s="2" t="s">
        <v>29</v>
      </c>
      <c r="C2165" s="30">
        <v>0.5</v>
      </c>
      <c r="D2165" s="28">
        <f>YEAR(TableauFlitrage[[#This Row],[Date_d_adjudication]])</f>
        <v>2024</v>
      </c>
      <c r="E2165" s="28">
        <f t="shared" si="37"/>
        <v>8</v>
      </c>
      <c r="F2165" s="15">
        <v>45523</v>
      </c>
      <c r="G2165" s="28">
        <v>96.787599999999998</v>
      </c>
      <c r="H2165" s="15">
        <v>45707</v>
      </c>
      <c r="I2165">
        <v>57.6</v>
      </c>
      <c r="J2165">
        <v>20000</v>
      </c>
      <c r="K2165" s="28">
        <v>6.5650000000000004</v>
      </c>
    </row>
    <row r="2166" spans="1:12" x14ac:dyDescent="0.2">
      <c r="A2166" s="28" t="s">
        <v>8</v>
      </c>
      <c r="B2166" s="2" t="s">
        <v>29</v>
      </c>
      <c r="C2166" s="30">
        <v>0.25</v>
      </c>
      <c r="D2166" s="28">
        <f>YEAR(TableauFlitrage[[#This Row],[Date_d_adjudication]])</f>
        <v>2024</v>
      </c>
      <c r="E2166" s="28">
        <f t="shared" si="37"/>
        <v>8</v>
      </c>
      <c r="F2166" s="15">
        <v>45524</v>
      </c>
      <c r="G2166" s="28">
        <v>95.423714000000004</v>
      </c>
      <c r="H2166" s="15">
        <v>45617</v>
      </c>
      <c r="I2166">
        <v>34.295000000000002</v>
      </c>
      <c r="J2166">
        <v>20000</v>
      </c>
      <c r="K2166" s="28">
        <v>6.3357000000000001</v>
      </c>
    </row>
    <row r="2167" spans="1:12" x14ac:dyDescent="0.2">
      <c r="A2167" s="28" t="s">
        <v>8</v>
      </c>
      <c r="B2167" s="2" t="s">
        <v>29</v>
      </c>
      <c r="C2167" s="30">
        <v>0.5</v>
      </c>
      <c r="D2167" s="28">
        <f>YEAR(TableauFlitrage[[#This Row],[Date_d_adjudication]])</f>
        <v>2024</v>
      </c>
      <c r="E2167" s="28">
        <f t="shared" si="37"/>
        <v>8</v>
      </c>
      <c r="F2167" s="15">
        <v>45524</v>
      </c>
      <c r="G2167" s="28">
        <v>96.610309999999998</v>
      </c>
      <c r="H2167" s="15">
        <v>45708</v>
      </c>
      <c r="I2167">
        <v>38.2333</v>
      </c>
      <c r="J2167">
        <v>15000</v>
      </c>
      <c r="K2167" s="28">
        <v>6.9401000000000002</v>
      </c>
    </row>
    <row r="2168" spans="1:12" x14ac:dyDescent="0.2">
      <c r="A2168" s="28" t="s">
        <v>8</v>
      </c>
      <c r="B2168" s="2" t="s">
        <v>29</v>
      </c>
      <c r="C2168" s="30">
        <v>1</v>
      </c>
      <c r="D2168" s="28">
        <f>YEAR(TableauFlitrage[[#This Row],[Date_d_adjudication]])</f>
        <v>2024</v>
      </c>
      <c r="E2168" s="28">
        <f t="shared" si="37"/>
        <v>8</v>
      </c>
      <c r="F2168" s="15">
        <v>45524</v>
      </c>
      <c r="G2168" s="28">
        <v>93.067021999999994</v>
      </c>
      <c r="H2168" s="15">
        <v>45890</v>
      </c>
      <c r="I2168">
        <v>27.58</v>
      </c>
      <c r="J2168">
        <v>15000</v>
      </c>
      <c r="K2168" s="28">
        <v>7.3676000000000004</v>
      </c>
    </row>
    <row r="2169" spans="1:12" x14ac:dyDescent="0.2">
      <c r="A2169" s="28" t="s">
        <v>10</v>
      </c>
      <c r="B2169" s="2" t="s">
        <v>29</v>
      </c>
      <c r="C2169" s="30">
        <v>0.5</v>
      </c>
      <c r="D2169" s="28">
        <f>YEAR(TableauFlitrage[[#This Row],[Date_d_adjudication]])</f>
        <v>2024</v>
      </c>
      <c r="E2169" s="28">
        <f t="shared" si="37"/>
        <v>8</v>
      </c>
      <c r="F2169" s="15">
        <v>45524</v>
      </c>
      <c r="G2169" s="28">
        <v>96.737634999999997</v>
      </c>
      <c r="H2169" s="15">
        <v>45708</v>
      </c>
      <c r="I2169">
        <v>55</v>
      </c>
      <c r="J2169">
        <v>15000</v>
      </c>
      <c r="K2169" s="28">
        <v>6.6707000000000001</v>
      </c>
    </row>
    <row r="2170" spans="1:12" x14ac:dyDescent="0.2">
      <c r="A2170" s="28" t="s">
        <v>9</v>
      </c>
      <c r="B2170" s="2" t="s">
        <v>29</v>
      </c>
      <c r="C2170" s="30">
        <v>0.5</v>
      </c>
      <c r="D2170" s="28">
        <f>YEAR(TableauFlitrage[[#This Row],[Date_d_adjudication]])</f>
        <v>2024</v>
      </c>
      <c r="E2170" s="28">
        <f t="shared" si="37"/>
        <v>8</v>
      </c>
      <c r="F2170" s="15">
        <v>45525</v>
      </c>
      <c r="G2170" s="28">
        <v>96.755796000000004</v>
      </c>
      <c r="H2170" s="15">
        <v>45709</v>
      </c>
      <c r="I2170">
        <v>37.455599999999997</v>
      </c>
      <c r="J2170">
        <v>9000</v>
      </c>
      <c r="K2170" s="28">
        <v>6.6322999999999999</v>
      </c>
    </row>
    <row r="2171" spans="1:12" x14ac:dyDescent="0.2">
      <c r="A2171" s="28" t="s">
        <v>11</v>
      </c>
      <c r="B2171" s="2" t="s">
        <v>29</v>
      </c>
      <c r="C2171" s="30">
        <v>0.5</v>
      </c>
      <c r="D2171" s="28">
        <f>YEAR(TableauFlitrage[[#This Row],[Date_d_adjudication]])</f>
        <v>2024</v>
      </c>
      <c r="E2171" s="28">
        <f t="shared" si="37"/>
        <v>8</v>
      </c>
      <c r="F2171" s="15">
        <v>45525</v>
      </c>
      <c r="G2171" s="28">
        <v>96.587500000000006</v>
      </c>
      <c r="H2171" s="15">
        <v>45709</v>
      </c>
      <c r="I2171">
        <v>35.1</v>
      </c>
      <c r="J2171">
        <v>10000</v>
      </c>
      <c r="K2171" s="28">
        <v>6.9885000000000002</v>
      </c>
    </row>
    <row r="2172" spans="1:12" x14ac:dyDescent="0.2">
      <c r="A2172" s="28" t="s">
        <v>11</v>
      </c>
      <c r="B2172" t="s">
        <v>30</v>
      </c>
      <c r="C2172" s="30" t="s">
        <v>54</v>
      </c>
      <c r="D2172" s="28">
        <f>YEAR(TableauFlitrage[[#This Row],[Date_d_adjudication]])</f>
        <v>2024</v>
      </c>
      <c r="E2172" s="28">
        <f t="shared" si="37"/>
        <v>8</v>
      </c>
      <c r="F2172" s="15">
        <v>45525</v>
      </c>
      <c r="G2172" s="28">
        <v>90.001000000000005</v>
      </c>
      <c r="H2172" s="15">
        <v>46622</v>
      </c>
      <c r="I2172">
        <v>73.190799999999996</v>
      </c>
      <c r="J2172">
        <v>30000</v>
      </c>
      <c r="K2172" s="28">
        <v>6.5</v>
      </c>
      <c r="L2172">
        <v>10.47</v>
      </c>
    </row>
    <row r="2173" spans="1:12" x14ac:dyDescent="0.2">
      <c r="A2173" s="28" t="s">
        <v>7</v>
      </c>
      <c r="B2173" s="2" t="s">
        <v>29</v>
      </c>
      <c r="C2173" s="30">
        <v>0.5</v>
      </c>
      <c r="D2173" s="28">
        <f>YEAR(TableauFlitrage[[#This Row],[Date_d_adjudication]])</f>
        <v>2024</v>
      </c>
      <c r="E2173" s="28">
        <f t="shared" si="37"/>
        <v>8</v>
      </c>
      <c r="F2173" s="15">
        <v>45530</v>
      </c>
      <c r="G2173" s="28">
        <v>96.685957000000002</v>
      </c>
      <c r="H2173" s="15">
        <v>45714</v>
      </c>
      <c r="I2173">
        <v>151.13</v>
      </c>
      <c r="J2173">
        <v>20000</v>
      </c>
      <c r="K2173" s="28">
        <v>6.7798999999999996</v>
      </c>
    </row>
    <row r="2174" spans="1:12" x14ac:dyDescent="0.2">
      <c r="A2174" s="28" t="s">
        <v>8</v>
      </c>
      <c r="B2174" s="2" t="s">
        <v>29</v>
      </c>
      <c r="C2174" s="30">
        <v>0.5</v>
      </c>
      <c r="D2174" s="28">
        <f>YEAR(TableauFlitrage[[#This Row],[Date_d_adjudication]])</f>
        <v>2024</v>
      </c>
      <c r="E2174" s="28">
        <f t="shared" si="37"/>
        <v>8</v>
      </c>
      <c r="F2174" s="15">
        <v>45531</v>
      </c>
      <c r="G2174" s="28">
        <v>96.592827</v>
      </c>
      <c r="H2174" s="15">
        <v>45715</v>
      </c>
      <c r="I2174">
        <v>26.1</v>
      </c>
      <c r="J2174">
        <v>20000</v>
      </c>
      <c r="K2174" s="28">
        <v>6.9771999999999998</v>
      </c>
    </row>
    <row r="2175" spans="1:12" x14ac:dyDescent="0.2">
      <c r="A2175" s="28" t="s">
        <v>8</v>
      </c>
      <c r="B2175" s="2" t="s">
        <v>29</v>
      </c>
      <c r="C2175" s="30">
        <v>1</v>
      </c>
      <c r="D2175" s="28">
        <f>YEAR(TableauFlitrage[[#This Row],[Date_d_adjudication]])</f>
        <v>2024</v>
      </c>
      <c r="E2175" s="28">
        <f t="shared" si="37"/>
        <v>8</v>
      </c>
      <c r="F2175" s="15">
        <v>45531</v>
      </c>
      <c r="G2175" s="28">
        <v>92.981448</v>
      </c>
      <c r="H2175" s="15">
        <v>45897</v>
      </c>
      <c r="I2175">
        <v>16.986699999999999</v>
      </c>
      <c r="J2175">
        <v>15000</v>
      </c>
      <c r="K2175" s="28">
        <v>7.4653999999999998</v>
      </c>
    </row>
    <row r="2176" spans="1:12" x14ac:dyDescent="0.2">
      <c r="A2176" s="28" t="s">
        <v>8</v>
      </c>
      <c r="B2176" t="s">
        <v>30</v>
      </c>
      <c r="C2176" s="30" t="s">
        <v>53</v>
      </c>
      <c r="D2176" s="28">
        <f>YEAR(TableauFlitrage[[#This Row],[Date_d_adjudication]])</f>
        <v>2024</v>
      </c>
      <c r="E2176" s="28">
        <f t="shared" si="37"/>
        <v>8</v>
      </c>
      <c r="F2176" s="15">
        <v>45531</v>
      </c>
      <c r="G2176" s="28">
        <v>90.109300000000005</v>
      </c>
      <c r="H2176" s="15">
        <v>46263</v>
      </c>
      <c r="I2176">
        <v>31.840900000000001</v>
      </c>
      <c r="J2176">
        <v>10000</v>
      </c>
      <c r="K2176" s="28">
        <v>5.5</v>
      </c>
      <c r="L2176">
        <v>11.15</v>
      </c>
    </row>
    <row r="2177" spans="1:12" x14ac:dyDescent="0.2">
      <c r="A2177" s="28" t="s">
        <v>8</v>
      </c>
      <c r="B2177" t="s">
        <v>30</v>
      </c>
      <c r="C2177" s="30" t="s">
        <v>54</v>
      </c>
      <c r="D2177" s="28">
        <f>YEAR(TableauFlitrage[[#This Row],[Date_d_adjudication]])</f>
        <v>2024</v>
      </c>
      <c r="E2177" s="28">
        <f t="shared" si="37"/>
        <v>8</v>
      </c>
      <c r="F2177" s="15">
        <v>45531</v>
      </c>
      <c r="G2177" s="28">
        <v>93</v>
      </c>
      <c r="H2177" s="15">
        <v>46628</v>
      </c>
      <c r="I2177">
        <v>8.4499999999999993</v>
      </c>
      <c r="J2177">
        <v>10000</v>
      </c>
      <c r="K2177" s="28">
        <v>6</v>
      </c>
      <c r="L2177">
        <v>8.6999999999999993</v>
      </c>
    </row>
    <row r="2178" spans="1:12" x14ac:dyDescent="0.2">
      <c r="A2178" s="28" t="s">
        <v>9</v>
      </c>
      <c r="B2178" s="2" t="s">
        <v>29</v>
      </c>
      <c r="C2178" s="30">
        <v>0.5</v>
      </c>
      <c r="D2178" s="28">
        <f>YEAR(TableauFlitrage[[#This Row],[Date_d_adjudication]])</f>
        <v>2024</v>
      </c>
      <c r="E2178" s="28">
        <f t="shared" si="37"/>
        <v>8</v>
      </c>
      <c r="F2178" s="15">
        <v>45532</v>
      </c>
      <c r="G2178" s="28">
        <v>96.747636</v>
      </c>
      <c r="H2178" s="15">
        <v>45716</v>
      </c>
      <c r="I2178">
        <v>70.090900000000005</v>
      </c>
      <c r="J2178">
        <v>11000</v>
      </c>
      <c r="K2178" s="28">
        <v>6.6490999999999998</v>
      </c>
    </row>
    <row r="2179" spans="1:12" x14ac:dyDescent="0.2">
      <c r="A2179" s="28" t="s">
        <v>11</v>
      </c>
      <c r="B2179" s="2" t="s">
        <v>29</v>
      </c>
      <c r="C2179" s="30">
        <v>0.5</v>
      </c>
      <c r="D2179" s="28">
        <f>YEAR(TableauFlitrage[[#This Row],[Date_d_adjudication]])</f>
        <v>2024</v>
      </c>
      <c r="E2179" s="28">
        <f t="shared" si="37"/>
        <v>8</v>
      </c>
      <c r="F2179" s="15">
        <v>45532</v>
      </c>
      <c r="G2179" s="28">
        <v>96.588070000000002</v>
      </c>
      <c r="H2179" s="15">
        <v>45716</v>
      </c>
      <c r="I2179">
        <v>57.8</v>
      </c>
      <c r="J2179">
        <v>10000</v>
      </c>
      <c r="K2179" s="28">
        <v>6.9672999999999998</v>
      </c>
    </row>
    <row r="2180" spans="1:12" x14ac:dyDescent="0.2">
      <c r="A2180" s="28" t="s">
        <v>9</v>
      </c>
      <c r="B2180" t="s">
        <v>30</v>
      </c>
      <c r="C2180" s="30" t="s">
        <v>55</v>
      </c>
      <c r="D2180" s="28">
        <f>YEAR(TableauFlitrage[[#This Row],[Date_d_adjudication]])</f>
        <v>2024</v>
      </c>
      <c r="E2180" s="28">
        <f t="shared" si="37"/>
        <v>8</v>
      </c>
      <c r="F2180" s="15">
        <v>45532</v>
      </c>
      <c r="G2180" s="28">
        <v>93.344800000000006</v>
      </c>
      <c r="H2180" s="15">
        <v>46457</v>
      </c>
      <c r="I2180">
        <v>73.727400000000003</v>
      </c>
      <c r="J2180">
        <v>12500</v>
      </c>
      <c r="K2180" s="28">
        <v>6.25</v>
      </c>
      <c r="L2180">
        <v>8.82</v>
      </c>
    </row>
    <row r="2181" spans="1:12" x14ac:dyDescent="0.2">
      <c r="A2181" s="28" t="s">
        <v>7</v>
      </c>
      <c r="B2181" s="2" t="s">
        <v>29</v>
      </c>
      <c r="C2181" s="30">
        <v>0.5</v>
      </c>
      <c r="D2181" s="28">
        <f>YEAR(TableauFlitrage[[#This Row],[Date_d_adjudication]])</f>
        <v>2024</v>
      </c>
      <c r="E2181" s="28">
        <f t="shared" si="37"/>
        <v>9</v>
      </c>
      <c r="F2181" s="15">
        <v>45537</v>
      </c>
      <c r="G2181" s="28">
        <v>96.665250999999998</v>
      </c>
      <c r="H2181" s="15">
        <v>45721</v>
      </c>
      <c r="I2181">
        <v>94.3</v>
      </c>
      <c r="J2181">
        <v>20000</v>
      </c>
      <c r="K2181" s="28">
        <v>6.8238000000000003</v>
      </c>
    </row>
    <row r="2182" spans="1:12" x14ac:dyDescent="0.2">
      <c r="A2182" s="28" t="s">
        <v>9</v>
      </c>
      <c r="B2182" s="2" t="s">
        <v>29</v>
      </c>
      <c r="C2182" s="30">
        <v>0.25</v>
      </c>
      <c r="D2182" s="28">
        <f>YEAR(TableauFlitrage[[#This Row],[Date_d_adjudication]])</f>
        <v>2024</v>
      </c>
      <c r="E2182" s="28">
        <f t="shared" si="37"/>
        <v>9</v>
      </c>
      <c r="F2182" s="15">
        <v>45539</v>
      </c>
      <c r="G2182" s="28">
        <v>98.369016999999999</v>
      </c>
      <c r="H2182" s="15">
        <v>45632</v>
      </c>
      <c r="I2182">
        <v>109.7</v>
      </c>
      <c r="J2182">
        <v>0</v>
      </c>
      <c r="K2182" s="28">
        <v>6.5591999999999997</v>
      </c>
    </row>
    <row r="2183" spans="1:12" x14ac:dyDescent="0.2">
      <c r="A2183" s="28" t="s">
        <v>11</v>
      </c>
      <c r="B2183" t="s">
        <v>30</v>
      </c>
      <c r="C2183" s="30" t="s">
        <v>54</v>
      </c>
      <c r="D2183" s="28">
        <f>YEAR(TableauFlitrage[[#This Row],[Date_d_adjudication]])</f>
        <v>2024</v>
      </c>
      <c r="E2183" s="28">
        <f t="shared" si="37"/>
        <v>9</v>
      </c>
      <c r="F2183" s="15">
        <v>45539</v>
      </c>
      <c r="G2183" s="28">
        <v>90.197599999999994</v>
      </c>
      <c r="H2183" s="15">
        <v>46636</v>
      </c>
      <c r="I2183">
        <v>8.9844000000000008</v>
      </c>
      <c r="J2183">
        <v>30000</v>
      </c>
      <c r="K2183" s="28">
        <v>6.5</v>
      </c>
      <c r="L2183">
        <v>10.39</v>
      </c>
    </row>
    <row r="2184" spans="1:12" x14ac:dyDescent="0.2">
      <c r="A2184" s="28" t="s">
        <v>8</v>
      </c>
      <c r="B2184" s="2" t="s">
        <v>29</v>
      </c>
      <c r="C2184" s="30">
        <v>0.25</v>
      </c>
      <c r="D2184" s="28">
        <f>YEAR(TableauFlitrage[[#This Row],[Date_d_adjudication]])</f>
        <v>2024</v>
      </c>
      <c r="E2184" s="28">
        <f t="shared" si="37"/>
        <v>9</v>
      </c>
      <c r="F2184" s="15">
        <v>45545</v>
      </c>
      <c r="G2184" s="28">
        <v>98.352137999999997</v>
      </c>
      <c r="H2184" s="15">
        <v>45638</v>
      </c>
      <c r="I2184">
        <v>48.8</v>
      </c>
      <c r="J2184">
        <v>25000</v>
      </c>
      <c r="K2184" s="28">
        <v>6.6281999999999996</v>
      </c>
    </row>
    <row r="2185" spans="1:12" x14ac:dyDescent="0.2">
      <c r="A2185" s="28" t="s">
        <v>8</v>
      </c>
      <c r="B2185" s="2" t="s">
        <v>29</v>
      </c>
      <c r="C2185" s="30">
        <v>1</v>
      </c>
      <c r="D2185" s="28">
        <f>YEAR(TableauFlitrage[[#This Row],[Date_d_adjudication]])</f>
        <v>2024</v>
      </c>
      <c r="E2185" s="28">
        <f t="shared" si="37"/>
        <v>9</v>
      </c>
      <c r="F2185" s="15">
        <v>45545</v>
      </c>
      <c r="G2185" s="28">
        <v>93.035938000000002</v>
      </c>
      <c r="H2185" s="15">
        <v>45911</v>
      </c>
      <c r="I2185">
        <v>52.26</v>
      </c>
      <c r="J2185">
        <v>10000</v>
      </c>
      <c r="K2185" s="28">
        <v>7.4031000000000002</v>
      </c>
    </row>
    <row r="2186" spans="1:12" x14ac:dyDescent="0.2">
      <c r="A2186" s="28" t="s">
        <v>10</v>
      </c>
      <c r="B2186" s="2" t="s">
        <v>29</v>
      </c>
      <c r="C2186" s="30">
        <v>0.5</v>
      </c>
      <c r="D2186" s="28">
        <f>YEAR(TableauFlitrage[[#This Row],[Date_d_adjudication]])</f>
        <v>2024</v>
      </c>
      <c r="E2186" s="28">
        <f t="shared" si="37"/>
        <v>9</v>
      </c>
      <c r="F2186" s="15">
        <v>45545</v>
      </c>
      <c r="G2186" s="28">
        <v>96.693894</v>
      </c>
      <c r="H2186" s="15">
        <v>45729</v>
      </c>
      <c r="I2186">
        <v>100.3</v>
      </c>
      <c r="J2186">
        <v>10000</v>
      </c>
      <c r="K2186" s="28">
        <v>6.7630999999999997</v>
      </c>
    </row>
    <row r="2187" spans="1:12" x14ac:dyDescent="0.2">
      <c r="A2187" s="28" t="s">
        <v>8</v>
      </c>
      <c r="B2187" t="s">
        <v>30</v>
      </c>
      <c r="C2187" s="30" t="s">
        <v>53</v>
      </c>
      <c r="D2187" s="28">
        <f>YEAR(TableauFlitrage[[#This Row],[Date_d_adjudication]])</f>
        <v>2024</v>
      </c>
      <c r="E2187" s="28">
        <f t="shared" si="37"/>
        <v>9</v>
      </c>
      <c r="F2187" s="15">
        <v>45545</v>
      </c>
      <c r="G2187" s="28">
        <v>92.210999999999999</v>
      </c>
      <c r="H2187" s="15">
        <v>46263</v>
      </c>
      <c r="I2187">
        <v>34.107999999999997</v>
      </c>
      <c r="J2187">
        <v>5000</v>
      </c>
      <c r="K2187" s="28">
        <v>5.5</v>
      </c>
      <c r="L2187">
        <v>9.89</v>
      </c>
    </row>
    <row r="2188" spans="1:12" x14ac:dyDescent="0.2">
      <c r="A2188" s="28" t="s">
        <v>9</v>
      </c>
      <c r="B2188" s="2" t="s">
        <v>29</v>
      </c>
      <c r="C2188" s="30">
        <v>0.5</v>
      </c>
      <c r="D2188" s="28">
        <f>YEAR(TableauFlitrage[[#This Row],[Date_d_adjudication]])</f>
        <v>2024</v>
      </c>
      <c r="E2188" s="28">
        <f t="shared" si="37"/>
        <v>9</v>
      </c>
      <c r="F2188" s="15">
        <v>45546</v>
      </c>
      <c r="G2188" s="28">
        <v>96.826571999999999</v>
      </c>
      <c r="H2188" s="15">
        <v>45730</v>
      </c>
      <c r="I2188">
        <v>115.0333</v>
      </c>
      <c r="J2188">
        <v>25000</v>
      </c>
      <c r="K2188" s="28">
        <v>6.4828000000000001</v>
      </c>
    </row>
    <row r="2189" spans="1:12" x14ac:dyDescent="0.2">
      <c r="A2189" s="28" t="s">
        <v>14</v>
      </c>
      <c r="B2189" t="s">
        <v>30</v>
      </c>
      <c r="C2189" s="30" t="s">
        <v>55</v>
      </c>
      <c r="D2189" s="28">
        <f>YEAR(TableauFlitrage[[#This Row],[Date_d_adjudication]])</f>
        <v>2024</v>
      </c>
      <c r="E2189" s="28">
        <f t="shared" si="37"/>
        <v>9</v>
      </c>
      <c r="F2189" s="15">
        <v>45551</v>
      </c>
      <c r="G2189" s="28">
        <v>89</v>
      </c>
      <c r="H2189" s="15">
        <v>47379</v>
      </c>
      <c r="I2189">
        <v>100</v>
      </c>
      <c r="J2189">
        <v>20000</v>
      </c>
      <c r="K2189" s="28">
        <v>7</v>
      </c>
      <c r="L2189">
        <v>9.84</v>
      </c>
    </row>
    <row r="2190" spans="1:12" x14ac:dyDescent="0.2">
      <c r="A2190" s="28" t="s">
        <v>14</v>
      </c>
      <c r="B2190" t="s">
        <v>30</v>
      </c>
      <c r="C2190" s="30" t="s">
        <v>56</v>
      </c>
      <c r="D2190" s="28">
        <f>YEAR(TableauFlitrage[[#This Row],[Date_d_adjudication]])</f>
        <v>2024</v>
      </c>
      <c r="E2190" s="28">
        <f t="shared" si="37"/>
        <v>9</v>
      </c>
      <c r="F2190" s="15">
        <v>45551</v>
      </c>
      <c r="G2190" s="28">
        <v>90</v>
      </c>
      <c r="H2190" s="15">
        <v>47014</v>
      </c>
      <c r="I2190">
        <v>100</v>
      </c>
      <c r="J2190">
        <v>15000</v>
      </c>
      <c r="K2190" s="28">
        <v>6.75</v>
      </c>
      <c r="L2190">
        <v>9.83</v>
      </c>
    </row>
    <row r="2191" spans="1:12" x14ac:dyDescent="0.2">
      <c r="A2191" s="28" t="s">
        <v>14</v>
      </c>
      <c r="B2191" t="s">
        <v>30</v>
      </c>
      <c r="C2191" s="30" t="s">
        <v>54</v>
      </c>
      <c r="D2191" s="28">
        <f>YEAR(TableauFlitrage[[#This Row],[Date_d_adjudication]])</f>
        <v>2024</v>
      </c>
      <c r="E2191" s="28">
        <f t="shared" si="37"/>
        <v>9</v>
      </c>
      <c r="F2191" s="15">
        <v>45551</v>
      </c>
      <c r="G2191" s="28">
        <v>91</v>
      </c>
      <c r="H2191" s="15">
        <v>46648</v>
      </c>
      <c r="I2191">
        <v>100</v>
      </c>
      <c r="J2191">
        <v>15000</v>
      </c>
      <c r="K2191" s="28">
        <v>6.5</v>
      </c>
      <c r="L2191">
        <v>10.050000000000001</v>
      </c>
    </row>
    <row r="2192" spans="1:12" x14ac:dyDescent="0.2">
      <c r="A2192" s="28" t="s">
        <v>14</v>
      </c>
      <c r="B2192" t="s">
        <v>30</v>
      </c>
      <c r="C2192" s="30" t="s">
        <v>54</v>
      </c>
      <c r="D2192" s="28">
        <f>YEAR(TableauFlitrage[[#This Row],[Date_d_adjudication]])</f>
        <v>2024</v>
      </c>
      <c r="E2192" s="28">
        <f t="shared" si="37"/>
        <v>9</v>
      </c>
      <c r="F2192" s="15">
        <v>45551</v>
      </c>
      <c r="G2192" s="28">
        <v>102.3151</v>
      </c>
      <c r="H2192" s="15">
        <v>45788</v>
      </c>
      <c r="I2192">
        <v>84.375</v>
      </c>
      <c r="J2192">
        <v>8000</v>
      </c>
      <c r="K2192" s="28">
        <v>6.5</v>
      </c>
      <c r="L2192">
        <v>4.1100000000000003</v>
      </c>
    </row>
    <row r="2193" spans="1:12" x14ac:dyDescent="0.2">
      <c r="A2193" s="28" t="s">
        <v>14</v>
      </c>
      <c r="B2193" t="s">
        <v>30</v>
      </c>
      <c r="C2193" s="30" t="s">
        <v>54</v>
      </c>
      <c r="D2193" s="28">
        <f>YEAR(TableauFlitrage[[#This Row],[Date_d_adjudication]])</f>
        <v>2024</v>
      </c>
      <c r="E2193" s="28">
        <f t="shared" si="37"/>
        <v>9</v>
      </c>
      <c r="F2193" s="15">
        <v>45551</v>
      </c>
      <c r="G2193" s="28">
        <v>106.44670000000001</v>
      </c>
      <c r="H2193" s="15">
        <v>45921</v>
      </c>
      <c r="I2193">
        <v>87.433300000000003</v>
      </c>
      <c r="J2193">
        <v>9000</v>
      </c>
      <c r="K2193" s="28">
        <v>6.5</v>
      </c>
      <c r="L2193">
        <v>0.05</v>
      </c>
    </row>
    <row r="2194" spans="1:12" x14ac:dyDescent="0.2">
      <c r="A2194" s="28" t="s">
        <v>14</v>
      </c>
      <c r="B2194" t="s">
        <v>30</v>
      </c>
      <c r="C2194" s="30" t="s">
        <v>54</v>
      </c>
      <c r="D2194" s="28">
        <f>YEAR(TableauFlitrage[[#This Row],[Date_d_adjudication]])</f>
        <v>2024</v>
      </c>
      <c r="E2194" s="28">
        <f t="shared" si="37"/>
        <v>9</v>
      </c>
      <c r="F2194" s="15">
        <v>45551</v>
      </c>
      <c r="G2194" s="28">
        <v>106.07380000000001</v>
      </c>
      <c r="H2194" s="15">
        <v>45942</v>
      </c>
      <c r="I2194">
        <v>68.6875</v>
      </c>
      <c r="J2194">
        <v>8000</v>
      </c>
      <c r="K2194" s="28">
        <v>6.5</v>
      </c>
      <c r="L2194">
        <v>0.41</v>
      </c>
    </row>
    <row r="2195" spans="1:12" x14ac:dyDescent="0.2">
      <c r="A2195" s="28" t="s">
        <v>11</v>
      </c>
      <c r="B2195" s="2" t="s">
        <v>29</v>
      </c>
      <c r="C2195" s="30">
        <v>0.5</v>
      </c>
      <c r="D2195" s="28">
        <f>YEAR(TableauFlitrage[[#This Row],[Date_d_adjudication]])</f>
        <v>2024</v>
      </c>
      <c r="E2195" s="28">
        <f t="shared" si="37"/>
        <v>9</v>
      </c>
      <c r="F2195" s="15">
        <v>45553</v>
      </c>
      <c r="G2195" s="28">
        <v>96.466503000000003</v>
      </c>
      <c r="H2195" s="15">
        <v>45737</v>
      </c>
      <c r="I2195">
        <v>97.05</v>
      </c>
      <c r="J2195">
        <v>9000</v>
      </c>
      <c r="K2195" s="28">
        <v>7.2453000000000003</v>
      </c>
    </row>
    <row r="2196" spans="1:12" x14ac:dyDescent="0.2">
      <c r="A2196" s="28" t="s">
        <v>9</v>
      </c>
      <c r="B2196" s="2" t="s">
        <v>29</v>
      </c>
      <c r="C2196" s="30">
        <v>0.5</v>
      </c>
      <c r="D2196" s="28">
        <f>YEAR(TableauFlitrage[[#This Row],[Date_d_adjudication]])</f>
        <v>2024</v>
      </c>
      <c r="E2196" s="28">
        <f t="shared" si="37"/>
        <v>9</v>
      </c>
      <c r="F2196" s="15">
        <v>45553</v>
      </c>
      <c r="G2196" s="28">
        <v>96.752955999999998</v>
      </c>
      <c r="H2196" s="15">
        <v>45737</v>
      </c>
      <c r="I2196">
        <v>87.09</v>
      </c>
      <c r="J2196">
        <v>0</v>
      </c>
      <c r="K2196" s="28">
        <v>6.6383000000000001</v>
      </c>
    </row>
    <row r="2197" spans="1:12" x14ac:dyDescent="0.2">
      <c r="A2197" s="28" t="s">
        <v>9</v>
      </c>
      <c r="B2197" t="s">
        <v>30</v>
      </c>
      <c r="C2197" s="30" t="s">
        <v>55</v>
      </c>
      <c r="D2197" s="28">
        <f>YEAR(TableauFlitrage[[#This Row],[Date_d_adjudication]])</f>
        <v>2024</v>
      </c>
      <c r="E2197" s="28">
        <f t="shared" si="37"/>
        <v>9</v>
      </c>
      <c r="F2197" s="15">
        <v>45553</v>
      </c>
      <c r="G2197" s="28">
        <v>93.608699999999999</v>
      </c>
      <c r="H2197" s="15">
        <v>46212</v>
      </c>
      <c r="I2197">
        <v>69.656000000000006</v>
      </c>
      <c r="J2197">
        <v>10000</v>
      </c>
      <c r="K2197" s="28">
        <v>6.5</v>
      </c>
      <c r="L2197">
        <v>10.11</v>
      </c>
    </row>
    <row r="2198" spans="1:12" x14ac:dyDescent="0.2">
      <c r="A2198" s="28" t="s">
        <v>11</v>
      </c>
      <c r="B2198" t="s">
        <v>30</v>
      </c>
      <c r="C2198" s="30" t="s">
        <v>54</v>
      </c>
      <c r="D2198" s="28">
        <f>YEAR(TableauFlitrage[[#This Row],[Date_d_adjudication]])</f>
        <v>2024</v>
      </c>
      <c r="E2198" s="28">
        <f t="shared" si="37"/>
        <v>9</v>
      </c>
      <c r="F2198" s="15">
        <v>45553</v>
      </c>
      <c r="G2198" s="28">
        <v>90.730500000000006</v>
      </c>
      <c r="H2198" s="15">
        <v>46650</v>
      </c>
      <c r="I2198">
        <v>51.437100000000001</v>
      </c>
      <c r="J2198">
        <v>10000</v>
      </c>
      <c r="K2198" s="28">
        <v>6.5</v>
      </c>
      <c r="L2198">
        <v>10.16</v>
      </c>
    </row>
    <row r="2199" spans="1:12" x14ac:dyDescent="0.2">
      <c r="A2199" s="28" t="s">
        <v>7</v>
      </c>
      <c r="B2199" s="2" t="s">
        <v>29</v>
      </c>
      <c r="C2199" s="30">
        <v>0.5</v>
      </c>
      <c r="D2199" s="28">
        <f>YEAR(TableauFlitrage[[#This Row],[Date_d_adjudication]])</f>
        <v>2024</v>
      </c>
      <c r="E2199" s="28">
        <f t="shared" si="37"/>
        <v>9</v>
      </c>
      <c r="F2199" s="15">
        <v>45558</v>
      </c>
      <c r="G2199" s="28">
        <v>96.695740999999998</v>
      </c>
      <c r="H2199" s="15">
        <v>45742</v>
      </c>
      <c r="I2199">
        <v>64.83</v>
      </c>
      <c r="J2199">
        <v>30000</v>
      </c>
      <c r="K2199" s="28">
        <v>6.7591999999999999</v>
      </c>
    </row>
    <row r="2200" spans="1:12" x14ac:dyDescent="0.2">
      <c r="A2200" s="28" t="s">
        <v>14</v>
      </c>
      <c r="B2200" t="s">
        <v>30</v>
      </c>
      <c r="C2200" s="30" t="s">
        <v>55</v>
      </c>
      <c r="D2200" s="28">
        <f>YEAR(TableauFlitrage[[#This Row],[Date_d_adjudication]])</f>
        <v>2024</v>
      </c>
      <c r="E2200" s="28">
        <f t="shared" si="37"/>
        <v>9</v>
      </c>
      <c r="F2200" s="15">
        <v>45558</v>
      </c>
      <c r="G2200" s="28">
        <v>89.176900000000003</v>
      </c>
      <c r="H2200" s="15">
        <v>47379</v>
      </c>
      <c r="I2200">
        <v>100.5333</v>
      </c>
      <c r="J2200">
        <v>7500</v>
      </c>
      <c r="K2200" s="28">
        <v>7</v>
      </c>
      <c r="L2200">
        <v>9.7899999999999991</v>
      </c>
    </row>
    <row r="2201" spans="1:12" x14ac:dyDescent="0.2">
      <c r="A2201" s="28" t="s">
        <v>10</v>
      </c>
      <c r="B2201" s="2" t="s">
        <v>29</v>
      </c>
      <c r="C2201" s="30">
        <v>0.5</v>
      </c>
      <c r="D2201" s="28">
        <f>YEAR(TableauFlitrage[[#This Row],[Date_d_adjudication]])</f>
        <v>2024</v>
      </c>
      <c r="E2201" s="28">
        <f t="shared" si="37"/>
        <v>9</v>
      </c>
      <c r="F2201" s="15">
        <v>45559</v>
      </c>
      <c r="G2201" s="28">
        <v>96.713888999999995</v>
      </c>
      <c r="H2201" s="15">
        <v>45743</v>
      </c>
      <c r="I2201">
        <v>100.85</v>
      </c>
      <c r="J2201">
        <v>10000</v>
      </c>
      <c r="K2201" s="28">
        <v>6.7209000000000003</v>
      </c>
    </row>
    <row r="2202" spans="1:12" x14ac:dyDescent="0.2">
      <c r="A2202" s="28" t="s">
        <v>8</v>
      </c>
      <c r="B2202" s="2" t="s">
        <v>29</v>
      </c>
      <c r="C2202" s="30">
        <v>0.5</v>
      </c>
      <c r="D2202" s="28">
        <f>YEAR(TableauFlitrage[[#This Row],[Date_d_adjudication]])</f>
        <v>2024</v>
      </c>
      <c r="E2202" s="28">
        <f t="shared" si="37"/>
        <v>9</v>
      </c>
      <c r="F2202" s="15">
        <v>45559</v>
      </c>
      <c r="G2202" s="28">
        <v>96.944134000000005</v>
      </c>
      <c r="H2202" s="15">
        <v>45743</v>
      </c>
      <c r="I2202">
        <v>24.2867</v>
      </c>
      <c r="J2202">
        <v>15000</v>
      </c>
      <c r="K2202" s="28">
        <v>6.8685</v>
      </c>
    </row>
    <row r="2203" spans="1:12" x14ac:dyDescent="0.2">
      <c r="A2203" s="28" t="s">
        <v>8</v>
      </c>
      <c r="B2203" s="2" t="s">
        <v>29</v>
      </c>
      <c r="C2203" s="30">
        <v>1</v>
      </c>
      <c r="D2203" s="28">
        <f>YEAR(TableauFlitrage[[#This Row],[Date_d_adjudication]])</f>
        <v>2024</v>
      </c>
      <c r="E2203" s="28">
        <f t="shared" si="37"/>
        <v>9</v>
      </c>
      <c r="F2203" s="15">
        <v>45559</v>
      </c>
      <c r="G2203" s="28">
        <v>93.763077999999993</v>
      </c>
      <c r="H2203" s="15">
        <v>45925</v>
      </c>
      <c r="I2203">
        <v>20.87</v>
      </c>
      <c r="J2203">
        <v>10000</v>
      </c>
      <c r="K2203" s="28">
        <v>6.5787000000000004</v>
      </c>
    </row>
    <row r="2204" spans="1:12" x14ac:dyDescent="0.2">
      <c r="A2204" s="28" t="s">
        <v>9</v>
      </c>
      <c r="B2204" s="2" t="s">
        <v>29</v>
      </c>
      <c r="C2204" s="30">
        <v>0.5</v>
      </c>
      <c r="D2204" s="28">
        <f>YEAR(TableauFlitrage[[#This Row],[Date_d_adjudication]])</f>
        <v>2024</v>
      </c>
      <c r="E2204" s="28">
        <f t="shared" si="37"/>
        <v>9</v>
      </c>
      <c r="F2204" s="15">
        <v>45560</v>
      </c>
      <c r="G2204" s="28">
        <v>96.706019999999995</v>
      </c>
      <c r="H2204" s="15">
        <v>45744</v>
      </c>
      <c r="I2204">
        <v>26.406700000000001</v>
      </c>
      <c r="J2204">
        <v>15000</v>
      </c>
      <c r="K2204" s="28">
        <v>6.1315</v>
      </c>
    </row>
    <row r="2205" spans="1:12" x14ac:dyDescent="0.2">
      <c r="A2205" s="28" t="s">
        <v>7</v>
      </c>
      <c r="B2205" s="2" t="s">
        <v>29</v>
      </c>
      <c r="C2205" s="30">
        <v>0.5</v>
      </c>
      <c r="D2205" s="28">
        <f>YEAR(TableauFlitrage[[#This Row],[Date_d_adjudication]])</f>
        <v>2024</v>
      </c>
      <c r="E2205" s="28">
        <f t="shared" si="37"/>
        <v>9</v>
      </c>
      <c r="F2205" s="15">
        <v>45565</v>
      </c>
      <c r="G2205" s="28">
        <v>96.772097000000002</v>
      </c>
      <c r="H2205" s="15">
        <v>45749</v>
      </c>
      <c r="I2205">
        <v>62.85</v>
      </c>
      <c r="J2205">
        <v>10000</v>
      </c>
      <c r="K2205" s="28">
        <v>6.2977999999999996</v>
      </c>
    </row>
    <row r="2206" spans="1:12" x14ac:dyDescent="0.2">
      <c r="A2206" s="28" t="s">
        <v>8</v>
      </c>
      <c r="B2206" s="2" t="s">
        <v>29</v>
      </c>
      <c r="C2206" s="30">
        <v>0.25</v>
      </c>
      <c r="D2206" s="28">
        <f>YEAR(TableauFlitrage[[#This Row],[Date_d_adjudication]])</f>
        <v>2024</v>
      </c>
      <c r="E2206" s="28">
        <f t="shared" si="37"/>
        <v>10</v>
      </c>
      <c r="F2206" s="15">
        <v>45566</v>
      </c>
      <c r="G2206" s="28">
        <v>98.407499999999999</v>
      </c>
      <c r="H2206" s="15">
        <v>45659</v>
      </c>
      <c r="I2206">
        <v>8</v>
      </c>
      <c r="J2206">
        <v>25000</v>
      </c>
      <c r="K2206" s="28">
        <v>6.4020000000000001</v>
      </c>
    </row>
    <row r="2207" spans="1:12" x14ac:dyDescent="0.2">
      <c r="A2207" s="28" t="s">
        <v>8</v>
      </c>
      <c r="B2207" s="2" t="s">
        <v>29</v>
      </c>
      <c r="C2207" s="30">
        <v>1</v>
      </c>
      <c r="D2207" s="28">
        <f>YEAR(TableauFlitrage[[#This Row],[Date_d_adjudication]])</f>
        <v>2024</v>
      </c>
      <c r="E2207" s="28">
        <f t="shared" si="37"/>
        <v>10</v>
      </c>
      <c r="F2207" s="15">
        <v>45566</v>
      </c>
      <c r="G2207" s="28">
        <v>93.225555999999997</v>
      </c>
      <c r="H2207" s="15">
        <v>45932</v>
      </c>
      <c r="I2207">
        <v>27.675000000000001</v>
      </c>
      <c r="J2207">
        <v>20000</v>
      </c>
      <c r="K2207" s="28">
        <v>7.1868999999999996</v>
      </c>
    </row>
    <row r="2208" spans="1:12" x14ac:dyDescent="0.2">
      <c r="A2208" s="28" t="s">
        <v>9</v>
      </c>
      <c r="B2208" s="2" t="s">
        <v>29</v>
      </c>
      <c r="C2208" s="30">
        <v>0.25</v>
      </c>
      <c r="D2208" s="28">
        <f>YEAR(TableauFlitrage[[#This Row],[Date_d_adjudication]])</f>
        <v>2024</v>
      </c>
      <c r="E2208" s="28">
        <f t="shared" si="37"/>
        <v>10</v>
      </c>
      <c r="F2208" s="15">
        <v>45567</v>
      </c>
      <c r="G2208" s="28">
        <v>98.419068999999993</v>
      </c>
      <c r="H2208" s="15">
        <v>45660</v>
      </c>
      <c r="I2208">
        <v>100.6133</v>
      </c>
      <c r="J2208">
        <v>7500</v>
      </c>
      <c r="K2208" s="28">
        <v>6.3547000000000002</v>
      </c>
    </row>
    <row r="2209" spans="1:12" x14ac:dyDescent="0.2">
      <c r="A2209" s="28" t="s">
        <v>11</v>
      </c>
      <c r="B2209" t="s">
        <v>30</v>
      </c>
      <c r="C2209" s="30" t="s">
        <v>54</v>
      </c>
      <c r="D2209" s="28">
        <f>YEAR(TableauFlitrage[[#This Row],[Date_d_adjudication]])</f>
        <v>2024</v>
      </c>
      <c r="E2209" s="28">
        <f t="shared" si="37"/>
        <v>10</v>
      </c>
      <c r="F2209" s="15">
        <v>45567</v>
      </c>
      <c r="G2209" s="28">
        <v>90.065600000000003</v>
      </c>
      <c r="H2209" s="15">
        <v>46664</v>
      </c>
      <c r="I2209">
        <v>21.350999999999999</v>
      </c>
      <c r="J2209">
        <v>10000</v>
      </c>
      <c r="K2209" s="28">
        <v>6.5</v>
      </c>
      <c r="L2209">
        <v>10.44</v>
      </c>
    </row>
    <row r="2210" spans="1:12" x14ac:dyDescent="0.2">
      <c r="A2210" s="28" t="s">
        <v>8</v>
      </c>
      <c r="B2210" s="2" t="s">
        <v>29</v>
      </c>
      <c r="C2210" s="30">
        <v>0.25</v>
      </c>
      <c r="D2210" s="28">
        <f>YEAR(TableauFlitrage[[#This Row],[Date_d_adjudication]])</f>
        <v>2024</v>
      </c>
      <c r="E2210" s="28">
        <f t="shared" si="37"/>
        <v>10</v>
      </c>
      <c r="F2210" s="15">
        <v>45573</v>
      </c>
      <c r="G2210" s="28">
        <v>98.553627000000006</v>
      </c>
      <c r="H2210" s="15">
        <v>45659</v>
      </c>
      <c r="I2210">
        <v>127.38</v>
      </c>
      <c r="J2210">
        <v>10000</v>
      </c>
      <c r="K2210" s="28">
        <v>6.2896999999999998</v>
      </c>
    </row>
    <row r="2211" spans="1:12" x14ac:dyDescent="0.2">
      <c r="A2211" s="28" t="s">
        <v>8</v>
      </c>
      <c r="B2211" s="2" t="s">
        <v>29</v>
      </c>
      <c r="C2211" s="30">
        <v>1</v>
      </c>
      <c r="D2211" s="28">
        <f>YEAR(TableauFlitrage[[#This Row],[Date_d_adjudication]])</f>
        <v>2024</v>
      </c>
      <c r="E2211" s="28">
        <f t="shared" ref="E2211:E2265" si="38">MONTH(F2211)</f>
        <v>10</v>
      </c>
      <c r="F2211" s="15">
        <v>45573</v>
      </c>
      <c r="G2211" s="28">
        <v>93.291420000000002</v>
      </c>
      <c r="H2211" s="15">
        <v>45932</v>
      </c>
      <c r="I2211">
        <v>45.37</v>
      </c>
      <c r="J2211">
        <v>10000</v>
      </c>
      <c r="K2211" s="28">
        <v>7.2514000000000003</v>
      </c>
    </row>
    <row r="2212" spans="1:12" x14ac:dyDescent="0.2">
      <c r="A2212" s="28" t="s">
        <v>8</v>
      </c>
      <c r="B2212" t="s">
        <v>30</v>
      </c>
      <c r="C2212" s="30" t="s">
        <v>53</v>
      </c>
      <c r="D2212" s="28">
        <f>YEAR(TableauFlitrage[[#This Row],[Date_d_adjudication]])</f>
        <v>2024</v>
      </c>
      <c r="E2212" s="28">
        <f t="shared" si="38"/>
        <v>10</v>
      </c>
      <c r="F2212" s="15">
        <v>45573</v>
      </c>
      <c r="G2212" s="28">
        <v>95.105500000000006</v>
      </c>
      <c r="H2212" s="15">
        <v>46298</v>
      </c>
      <c r="I2212">
        <v>156.47499999999999</v>
      </c>
      <c r="J2212">
        <v>10000</v>
      </c>
      <c r="K2212" s="28">
        <v>5.5</v>
      </c>
      <c r="L2212">
        <v>8.1999999999999993</v>
      </c>
    </row>
    <row r="2213" spans="1:12" x14ac:dyDescent="0.2">
      <c r="A2213" s="28" t="s">
        <v>8</v>
      </c>
      <c r="B2213" t="s">
        <v>30</v>
      </c>
      <c r="C2213" s="30" t="s">
        <v>54</v>
      </c>
      <c r="D2213" s="28">
        <f>YEAR(TableauFlitrage[[#This Row],[Date_d_adjudication]])</f>
        <v>2024</v>
      </c>
      <c r="E2213" s="28">
        <f t="shared" si="38"/>
        <v>10</v>
      </c>
      <c r="F2213" s="15">
        <v>45573</v>
      </c>
      <c r="G2213" s="28">
        <v>95</v>
      </c>
      <c r="H2213" s="15">
        <v>46670</v>
      </c>
      <c r="I2213">
        <v>153</v>
      </c>
      <c r="J2213">
        <v>10000</v>
      </c>
      <c r="K2213" s="28">
        <v>6</v>
      </c>
      <c r="L2213">
        <v>7.91</v>
      </c>
    </row>
    <row r="2214" spans="1:12" x14ac:dyDescent="0.2">
      <c r="A2214" s="28" t="s">
        <v>8</v>
      </c>
      <c r="B2214" t="s">
        <v>30</v>
      </c>
      <c r="C2214" s="30" t="s">
        <v>54</v>
      </c>
      <c r="D2214" s="28">
        <f>YEAR(TableauFlitrage[[#This Row],[Date_d_adjudication]])</f>
        <v>2024</v>
      </c>
      <c r="E2214" s="28">
        <f t="shared" si="38"/>
        <v>10</v>
      </c>
      <c r="F2214" s="15">
        <v>45573</v>
      </c>
      <c r="G2214" s="28">
        <v>95</v>
      </c>
      <c r="H2214" s="15">
        <v>46670</v>
      </c>
      <c r="I2214">
        <v>100</v>
      </c>
      <c r="J2214">
        <v>5000</v>
      </c>
      <c r="K2214" s="28">
        <v>6.5</v>
      </c>
      <c r="L2214">
        <v>7.91</v>
      </c>
    </row>
    <row r="2215" spans="1:12" x14ac:dyDescent="0.2">
      <c r="A2215" s="28" t="s">
        <v>9</v>
      </c>
      <c r="B2215" s="2" t="s">
        <v>29</v>
      </c>
      <c r="C2215" s="30">
        <v>0.5</v>
      </c>
      <c r="D2215" s="28">
        <f>YEAR(TableauFlitrage[[#This Row],[Date_d_adjudication]])</f>
        <v>2024</v>
      </c>
      <c r="E2215" s="28">
        <f t="shared" si="38"/>
        <v>10</v>
      </c>
      <c r="F2215" s="15">
        <v>45574</v>
      </c>
      <c r="G2215" s="28">
        <v>96.764443999999997</v>
      </c>
      <c r="H2215" s="15">
        <v>45757</v>
      </c>
      <c r="I2215">
        <v>100</v>
      </c>
      <c r="J2215">
        <v>12500</v>
      </c>
      <c r="K2215" s="28">
        <v>6.6139999999999999</v>
      </c>
    </row>
    <row r="2216" spans="1:12" x14ac:dyDescent="0.2">
      <c r="A2216" s="28" t="s">
        <v>9</v>
      </c>
      <c r="B2216" s="2" t="s">
        <v>29</v>
      </c>
      <c r="C2216" s="30">
        <v>1</v>
      </c>
      <c r="D2216" s="28">
        <f>YEAR(TableauFlitrage[[#This Row],[Date_d_adjudication]])</f>
        <v>2024</v>
      </c>
      <c r="E2216" s="28">
        <f t="shared" si="38"/>
        <v>10</v>
      </c>
      <c r="F2216" s="15">
        <v>45574</v>
      </c>
      <c r="G2216" s="28">
        <v>93.427778000000004</v>
      </c>
      <c r="H2216" s="15">
        <v>45940</v>
      </c>
      <c r="I2216">
        <v>100</v>
      </c>
      <c r="J2216">
        <v>12500</v>
      </c>
      <c r="K2216" s="28">
        <v>6.9572000000000003</v>
      </c>
    </row>
    <row r="2217" spans="1:12" x14ac:dyDescent="0.2">
      <c r="A2217" s="28" t="s">
        <v>11</v>
      </c>
      <c r="B2217" s="2" t="s">
        <v>29</v>
      </c>
      <c r="C2217" s="30">
        <v>0.5</v>
      </c>
      <c r="D2217" s="28">
        <f>YEAR(TableauFlitrage[[#This Row],[Date_d_adjudication]])</f>
        <v>2024</v>
      </c>
      <c r="E2217" s="28">
        <f t="shared" si="38"/>
        <v>10</v>
      </c>
      <c r="F2217" s="15">
        <v>45574</v>
      </c>
      <c r="G2217" s="28">
        <v>96.633184</v>
      </c>
      <c r="H2217" s="15">
        <v>45758</v>
      </c>
      <c r="I2217">
        <v>20.03</v>
      </c>
      <c r="J2217">
        <v>10000</v>
      </c>
      <c r="K2217" s="28">
        <v>6.8917000000000002</v>
      </c>
    </row>
    <row r="2218" spans="1:12" x14ac:dyDescent="0.2">
      <c r="A2218" s="28" t="s">
        <v>11</v>
      </c>
      <c r="B2218" t="s">
        <v>30</v>
      </c>
      <c r="C2218" s="30" t="s">
        <v>54</v>
      </c>
      <c r="D2218" s="28">
        <f>YEAR(TableauFlitrage[[#This Row],[Date_d_adjudication]])</f>
        <v>2024</v>
      </c>
      <c r="E2218" s="28">
        <f t="shared" si="38"/>
        <v>10</v>
      </c>
      <c r="F2218" s="15">
        <v>45574</v>
      </c>
      <c r="G2218" s="28">
        <v>91.2</v>
      </c>
      <c r="H2218" s="15">
        <v>46671</v>
      </c>
      <c r="I2218">
        <v>16.666699999999999</v>
      </c>
      <c r="J2218">
        <v>30000</v>
      </c>
      <c r="K2218" s="28">
        <v>6.5</v>
      </c>
      <c r="L2218">
        <v>9.9700000000000006</v>
      </c>
    </row>
    <row r="2219" spans="1:12" x14ac:dyDescent="0.2">
      <c r="A2219" s="28" t="s">
        <v>9</v>
      </c>
      <c r="B2219" t="s">
        <v>30</v>
      </c>
      <c r="C2219" s="30" t="s">
        <v>55</v>
      </c>
      <c r="D2219" s="28">
        <f>YEAR(TableauFlitrage[[#This Row],[Date_d_adjudication]])</f>
        <v>2024</v>
      </c>
      <c r="E2219" s="28">
        <f t="shared" si="38"/>
        <v>10</v>
      </c>
      <c r="F2219" s="15">
        <v>45574</v>
      </c>
      <c r="G2219" s="28">
        <v>92.147300000000001</v>
      </c>
      <c r="H2219" s="15">
        <v>46604</v>
      </c>
      <c r="I2219">
        <v>100</v>
      </c>
      <c r="J2219">
        <v>15000</v>
      </c>
      <c r="K2219" s="28">
        <v>6.25</v>
      </c>
      <c r="L2219">
        <v>9.31</v>
      </c>
    </row>
    <row r="2220" spans="1:12" x14ac:dyDescent="0.2">
      <c r="A2220" s="28" t="s">
        <v>9</v>
      </c>
      <c r="B2220" t="s">
        <v>30</v>
      </c>
      <c r="C2220" s="30" t="s">
        <v>55</v>
      </c>
      <c r="D2220" s="28">
        <f>YEAR(TableauFlitrage[[#This Row],[Date_d_adjudication]])</f>
        <v>2024</v>
      </c>
      <c r="E2220" s="28">
        <f t="shared" si="38"/>
        <v>10</v>
      </c>
      <c r="F2220" s="15">
        <v>45574</v>
      </c>
      <c r="G2220" s="28">
        <v>97.700800000000001</v>
      </c>
      <c r="H2220" s="15">
        <v>46716</v>
      </c>
      <c r="I2220">
        <v>46.666699999999999</v>
      </c>
      <c r="J2220">
        <v>15000</v>
      </c>
      <c r="K2220" s="28">
        <v>6.5</v>
      </c>
      <c r="L2220">
        <v>7.37</v>
      </c>
    </row>
    <row r="2221" spans="1:12" x14ac:dyDescent="0.2">
      <c r="A2221" s="28" t="s">
        <v>9</v>
      </c>
      <c r="B2221" t="s">
        <v>30</v>
      </c>
      <c r="C2221" s="30" t="s">
        <v>55</v>
      </c>
      <c r="D2221" s="28">
        <f>YEAR(TableauFlitrage[[#This Row],[Date_d_adjudication]])</f>
        <v>2024</v>
      </c>
      <c r="E2221" s="28">
        <f t="shared" si="38"/>
        <v>10</v>
      </c>
      <c r="F2221" s="15">
        <v>45574</v>
      </c>
      <c r="G2221" s="28">
        <v>94.209000000000003</v>
      </c>
      <c r="H2221" s="15">
        <v>46800</v>
      </c>
      <c r="I2221">
        <v>38.64</v>
      </c>
      <c r="J2221">
        <v>10000</v>
      </c>
      <c r="K2221" s="28">
        <v>6.5</v>
      </c>
      <c r="L2221">
        <v>8.74</v>
      </c>
    </row>
    <row r="2222" spans="1:12" x14ac:dyDescent="0.2">
      <c r="A2222" s="28" t="s">
        <v>9</v>
      </c>
      <c r="B2222" t="s">
        <v>30</v>
      </c>
      <c r="C2222" s="30" t="s">
        <v>58</v>
      </c>
      <c r="D2222" s="28">
        <f>YEAR(TableauFlitrage[[#This Row],[Date_d_adjudication]])</f>
        <v>2024</v>
      </c>
      <c r="E2222" s="28">
        <f t="shared" si="38"/>
        <v>10</v>
      </c>
      <c r="F2222" s="15">
        <v>45574</v>
      </c>
      <c r="G2222" s="28">
        <v>93.842500000000001</v>
      </c>
      <c r="H2222" s="15">
        <v>47580</v>
      </c>
      <c r="I2222">
        <v>56.05</v>
      </c>
      <c r="J2222">
        <v>10000</v>
      </c>
      <c r="K2222" s="28">
        <v>7.5</v>
      </c>
      <c r="L2222">
        <v>8.85</v>
      </c>
    </row>
    <row r="2223" spans="1:12" x14ac:dyDescent="0.2">
      <c r="A2223" s="28" t="s">
        <v>9</v>
      </c>
      <c r="B2223" t="s">
        <v>30</v>
      </c>
      <c r="C2223" s="30" t="s">
        <v>61</v>
      </c>
      <c r="D2223" s="28">
        <f>YEAR(TableauFlitrage[[#This Row],[Date_d_adjudication]])</f>
        <v>2024</v>
      </c>
      <c r="E2223" s="28">
        <f t="shared" si="38"/>
        <v>10</v>
      </c>
      <c r="F2223" s="15">
        <v>45574</v>
      </c>
      <c r="G2223" s="28">
        <v>91.333600000000004</v>
      </c>
      <c r="H2223" s="15">
        <v>48073</v>
      </c>
      <c r="I2223">
        <v>90.4</v>
      </c>
      <c r="J2223">
        <v>5000</v>
      </c>
      <c r="K2223" s="28">
        <v>8.25</v>
      </c>
      <c r="L2223">
        <v>10</v>
      </c>
    </row>
    <row r="2224" spans="1:12" x14ac:dyDescent="0.2">
      <c r="A2224" s="28" t="s">
        <v>9</v>
      </c>
      <c r="B2224" t="s">
        <v>30</v>
      </c>
      <c r="C2224" s="30" t="s">
        <v>54</v>
      </c>
      <c r="D2224" s="28">
        <f>YEAR(TableauFlitrage[[#This Row],[Date_d_adjudication]])</f>
        <v>2024</v>
      </c>
      <c r="E2224" s="28">
        <f t="shared" si="38"/>
        <v>10</v>
      </c>
      <c r="F2224" s="15">
        <v>45574</v>
      </c>
      <c r="G2224" s="28">
        <v>93.215100000000007</v>
      </c>
      <c r="H2224" s="15">
        <v>46524</v>
      </c>
      <c r="I2224">
        <v>100</v>
      </c>
      <c r="J2224">
        <v>10000</v>
      </c>
      <c r="K2224" s="28">
        <v>5.5</v>
      </c>
      <c r="L2224">
        <v>8.09</v>
      </c>
    </row>
    <row r="2225" spans="1:12" x14ac:dyDescent="0.2">
      <c r="A2225" s="28" t="s">
        <v>9</v>
      </c>
      <c r="B2225" t="s">
        <v>30</v>
      </c>
      <c r="C2225" s="30" t="s">
        <v>54</v>
      </c>
      <c r="D2225" s="28">
        <f>YEAR(TableauFlitrage[[#This Row],[Date_d_adjudication]])</f>
        <v>2024</v>
      </c>
      <c r="E2225" s="28">
        <f t="shared" si="38"/>
        <v>10</v>
      </c>
      <c r="F2225" s="15">
        <v>45574</v>
      </c>
      <c r="G2225" s="28">
        <v>90.5</v>
      </c>
      <c r="H2225" s="15">
        <v>46671</v>
      </c>
      <c r="I2225">
        <v>86.605999999999995</v>
      </c>
      <c r="J2225">
        <v>35000</v>
      </c>
      <c r="K2225" s="28">
        <v>5.75</v>
      </c>
      <c r="L2225">
        <v>9.4600000000000009</v>
      </c>
    </row>
    <row r="2226" spans="1:12" x14ac:dyDescent="0.2">
      <c r="A2226" s="28" t="s">
        <v>9</v>
      </c>
      <c r="B2226" t="s">
        <v>30</v>
      </c>
      <c r="C2226" s="30" t="s">
        <v>56</v>
      </c>
      <c r="D2226" s="28">
        <f>YEAR(TableauFlitrage[[#This Row],[Date_d_adjudication]])</f>
        <v>2024</v>
      </c>
      <c r="E2226" s="28">
        <f t="shared" si="38"/>
        <v>10</v>
      </c>
      <c r="F2226" s="15">
        <v>45574</v>
      </c>
      <c r="G2226" s="28">
        <v>95.163300000000007</v>
      </c>
      <c r="H2226" s="15">
        <v>46407</v>
      </c>
      <c r="I2226">
        <v>100</v>
      </c>
      <c r="J2226">
        <v>10000</v>
      </c>
      <c r="K2226" s="28">
        <v>5.75</v>
      </c>
      <c r="L2226">
        <v>8.43</v>
      </c>
    </row>
    <row r="2227" spans="1:12" x14ac:dyDescent="0.2">
      <c r="A2227" s="28" t="s">
        <v>8</v>
      </c>
      <c r="B2227" s="2" t="s">
        <v>29</v>
      </c>
      <c r="C2227" s="30">
        <v>0.5</v>
      </c>
      <c r="D2227" s="28">
        <f>YEAR(TableauFlitrage[[#This Row],[Date_d_adjudication]])</f>
        <v>2024</v>
      </c>
      <c r="E2227" s="28">
        <f t="shared" si="38"/>
        <v>10</v>
      </c>
      <c r="F2227" s="15">
        <v>45580</v>
      </c>
      <c r="G2227" s="28">
        <v>96.472547000000006</v>
      </c>
      <c r="H2227" s="15">
        <v>45764</v>
      </c>
      <c r="I2227">
        <v>64.693299999999994</v>
      </c>
      <c r="J2227">
        <v>15000</v>
      </c>
      <c r="K2227" s="28">
        <v>7.2324999999999999</v>
      </c>
    </row>
    <row r="2228" spans="1:12" x14ac:dyDescent="0.2">
      <c r="A2228" s="28" t="s">
        <v>8</v>
      </c>
      <c r="B2228" s="2" t="s">
        <v>29</v>
      </c>
      <c r="C2228" s="30">
        <v>0.5</v>
      </c>
      <c r="D2228" s="28">
        <f>YEAR(TableauFlitrage[[#This Row],[Date_d_adjudication]])</f>
        <v>2024</v>
      </c>
      <c r="E2228" s="28">
        <f t="shared" si="38"/>
        <v>10</v>
      </c>
      <c r="F2228" s="15">
        <v>45580</v>
      </c>
      <c r="G2228" s="28">
        <v>96.545370000000005</v>
      </c>
      <c r="H2228" s="15">
        <v>45764</v>
      </c>
      <c r="I2228">
        <v>20</v>
      </c>
      <c r="J2228">
        <v>75000</v>
      </c>
      <c r="K2228" s="28">
        <v>7.0777999999999999</v>
      </c>
    </row>
    <row r="2229" spans="1:12" x14ac:dyDescent="0.2">
      <c r="A2229" s="28" t="s">
        <v>8</v>
      </c>
      <c r="B2229" s="2" t="s">
        <v>29</v>
      </c>
      <c r="C2229" s="30">
        <v>1</v>
      </c>
      <c r="D2229" s="28">
        <f>YEAR(TableauFlitrage[[#This Row],[Date_d_adjudication]])</f>
        <v>2024</v>
      </c>
      <c r="E2229" s="28">
        <f t="shared" si="38"/>
        <v>10</v>
      </c>
      <c r="F2229" s="15">
        <v>45580</v>
      </c>
      <c r="G2229" s="28">
        <v>93.221121999999994</v>
      </c>
      <c r="H2229" s="15">
        <v>45946</v>
      </c>
      <c r="I2229">
        <v>29.188600000000001</v>
      </c>
      <c r="J2229">
        <v>175000</v>
      </c>
      <c r="K2229" s="28">
        <v>7.1919000000000004</v>
      </c>
    </row>
    <row r="2230" spans="1:12" x14ac:dyDescent="0.2">
      <c r="A2230" s="28" t="s">
        <v>8</v>
      </c>
      <c r="B2230" t="s">
        <v>30</v>
      </c>
      <c r="C2230" s="30" t="s">
        <v>60</v>
      </c>
      <c r="D2230" s="28">
        <f>YEAR(TableauFlitrage[[#This Row],[Date_d_adjudication]])</f>
        <v>2024</v>
      </c>
      <c r="E2230" s="28">
        <f t="shared" si="38"/>
        <v>10</v>
      </c>
      <c r="F2230" s="15">
        <v>45580</v>
      </c>
      <c r="G2230" s="28">
        <v>100</v>
      </c>
      <c r="H2230" s="15">
        <v>48867</v>
      </c>
      <c r="I2230">
        <v>100</v>
      </c>
      <c r="J2230">
        <v>83590</v>
      </c>
      <c r="K2230" s="28">
        <v>6</v>
      </c>
    </row>
    <row r="2231" spans="1:12" x14ac:dyDescent="0.2">
      <c r="A2231" s="28" t="s">
        <v>8</v>
      </c>
      <c r="B2231" t="s">
        <v>30</v>
      </c>
      <c r="C2231" s="30" t="s">
        <v>60</v>
      </c>
      <c r="D2231" s="28">
        <f>YEAR(TableauFlitrage[[#This Row],[Date_d_adjudication]])</f>
        <v>2024</v>
      </c>
      <c r="E2231" s="28">
        <f t="shared" si="38"/>
        <v>10</v>
      </c>
      <c r="F2231" s="15">
        <v>45580</v>
      </c>
      <c r="G2231" s="28">
        <v>100</v>
      </c>
      <c r="H2231" s="15">
        <v>48867</v>
      </c>
      <c r="I2231">
        <v>100</v>
      </c>
      <c r="J2231">
        <v>1140.9000000000001</v>
      </c>
      <c r="K2231" s="28">
        <v>6.25</v>
      </c>
    </row>
    <row r="2232" spans="1:12" x14ac:dyDescent="0.2">
      <c r="A2232" s="28" t="s">
        <v>8</v>
      </c>
      <c r="B2232" t="s">
        <v>30</v>
      </c>
      <c r="C2232" s="30" t="s">
        <v>61</v>
      </c>
      <c r="D2232" s="28">
        <f>YEAR(TableauFlitrage[[#This Row],[Date_d_adjudication]])</f>
        <v>2024</v>
      </c>
      <c r="E2232" s="28">
        <f t="shared" si="38"/>
        <v>10</v>
      </c>
      <c r="F2232" s="15">
        <v>45580</v>
      </c>
      <c r="G2232" s="28">
        <v>100</v>
      </c>
      <c r="H2232" s="15">
        <v>49232</v>
      </c>
      <c r="I2232">
        <v>100</v>
      </c>
      <c r="J2232">
        <v>160696.5</v>
      </c>
      <c r="K2232" s="28">
        <v>6</v>
      </c>
    </row>
    <row r="2233" spans="1:12" x14ac:dyDescent="0.2">
      <c r="A2233" s="28" t="s">
        <v>8</v>
      </c>
      <c r="B2233" t="s">
        <v>30</v>
      </c>
      <c r="C2233" s="30" t="s">
        <v>54</v>
      </c>
      <c r="D2233" s="28">
        <f>YEAR(TableauFlitrage[[#This Row],[Date_d_adjudication]])</f>
        <v>2024</v>
      </c>
      <c r="E2233" s="28">
        <f t="shared" si="38"/>
        <v>10</v>
      </c>
      <c r="F2233" s="15">
        <v>45580</v>
      </c>
      <c r="G2233" s="28">
        <v>100</v>
      </c>
      <c r="H2233" s="15">
        <v>46675</v>
      </c>
      <c r="I2233">
        <v>100</v>
      </c>
      <c r="J2233">
        <v>8000</v>
      </c>
      <c r="K2233" s="28">
        <v>5.4</v>
      </c>
    </row>
    <row r="2234" spans="1:12" x14ac:dyDescent="0.2">
      <c r="A2234" s="28" t="s">
        <v>8</v>
      </c>
      <c r="B2234" t="s">
        <v>30</v>
      </c>
      <c r="C2234" s="30" t="s">
        <v>54</v>
      </c>
      <c r="D2234" s="28">
        <f>YEAR(TableauFlitrage[[#This Row],[Date_d_adjudication]])</f>
        <v>2024</v>
      </c>
      <c r="E2234" s="28">
        <f t="shared" si="38"/>
        <v>10</v>
      </c>
      <c r="F2234" s="15">
        <v>45580</v>
      </c>
      <c r="G2234" s="28">
        <v>100</v>
      </c>
      <c r="H2234" s="15">
        <v>46675</v>
      </c>
      <c r="I2234">
        <v>100</v>
      </c>
      <c r="J2234">
        <v>7000</v>
      </c>
      <c r="K2234" s="28">
        <v>5.75</v>
      </c>
    </row>
    <row r="2235" spans="1:12" x14ac:dyDescent="0.2">
      <c r="A2235" s="28" t="s">
        <v>8</v>
      </c>
      <c r="B2235" t="s">
        <v>30</v>
      </c>
      <c r="C2235" s="30" t="s">
        <v>54</v>
      </c>
      <c r="D2235" s="28">
        <f>YEAR(TableauFlitrage[[#This Row],[Date_d_adjudication]])</f>
        <v>2024</v>
      </c>
      <c r="E2235" s="28">
        <f t="shared" si="38"/>
        <v>10</v>
      </c>
      <c r="F2235" s="15">
        <v>45580</v>
      </c>
      <c r="G2235" s="28">
        <v>100</v>
      </c>
      <c r="H2235" s="15">
        <v>46675</v>
      </c>
      <c r="I2235">
        <v>100</v>
      </c>
      <c r="J2235">
        <v>5000</v>
      </c>
      <c r="K2235" s="28">
        <v>6</v>
      </c>
    </row>
    <row r="2236" spans="1:12" x14ac:dyDescent="0.2">
      <c r="A2236" s="28" t="s">
        <v>8</v>
      </c>
      <c r="B2236" t="s">
        <v>30</v>
      </c>
      <c r="C2236" s="30" t="s">
        <v>56</v>
      </c>
      <c r="D2236" s="28">
        <f>YEAR(TableauFlitrage[[#This Row],[Date_d_adjudication]])</f>
        <v>2024</v>
      </c>
      <c r="E2236" s="28">
        <f t="shared" si="38"/>
        <v>10</v>
      </c>
      <c r="F2236" s="15">
        <v>45580</v>
      </c>
      <c r="G2236" s="28">
        <v>100</v>
      </c>
      <c r="H2236" s="15">
        <v>47041</v>
      </c>
      <c r="I2236">
        <v>100</v>
      </c>
      <c r="J2236">
        <v>3000</v>
      </c>
      <c r="K2236" s="28">
        <v>5.75</v>
      </c>
    </row>
    <row r="2237" spans="1:12" x14ac:dyDescent="0.2">
      <c r="A2237" s="28" t="s">
        <v>8</v>
      </c>
      <c r="B2237" t="s">
        <v>30</v>
      </c>
      <c r="C2237" s="30" t="s">
        <v>56</v>
      </c>
      <c r="D2237" s="28">
        <f>YEAR(TableauFlitrage[[#This Row],[Date_d_adjudication]])</f>
        <v>2024</v>
      </c>
      <c r="E2237" s="28">
        <f t="shared" si="38"/>
        <v>10</v>
      </c>
      <c r="F2237" s="15">
        <v>45580</v>
      </c>
      <c r="G2237" s="28">
        <v>100</v>
      </c>
      <c r="H2237" s="15">
        <v>47041</v>
      </c>
      <c r="I2237">
        <v>100</v>
      </c>
      <c r="J2237">
        <v>23598.29</v>
      </c>
      <c r="K2237" s="28">
        <v>6</v>
      </c>
    </row>
    <row r="2238" spans="1:12" x14ac:dyDescent="0.2">
      <c r="A2238" s="28" t="s">
        <v>8</v>
      </c>
      <c r="B2238" t="s">
        <v>30</v>
      </c>
      <c r="C2238" s="30" t="s">
        <v>56</v>
      </c>
      <c r="D2238" s="28">
        <f>YEAR(TableauFlitrage[[#This Row],[Date_d_adjudication]])</f>
        <v>2024</v>
      </c>
      <c r="E2238" s="28">
        <f t="shared" si="38"/>
        <v>10</v>
      </c>
      <c r="F2238" s="15">
        <v>45580</v>
      </c>
      <c r="G2238" s="28">
        <v>100</v>
      </c>
      <c r="H2238" s="15">
        <v>47041</v>
      </c>
      <c r="I2238">
        <v>100</v>
      </c>
      <c r="J2238">
        <v>4880.16</v>
      </c>
      <c r="K2238" s="28">
        <v>6.5</v>
      </c>
    </row>
    <row r="2239" spans="1:12" x14ac:dyDescent="0.2">
      <c r="A2239" s="28" t="s">
        <v>8</v>
      </c>
      <c r="B2239" t="s">
        <v>30</v>
      </c>
      <c r="C2239" s="30" t="s">
        <v>55</v>
      </c>
      <c r="D2239" s="28">
        <f>YEAR(TableauFlitrage[[#This Row],[Date_d_adjudication]])</f>
        <v>2024</v>
      </c>
      <c r="E2239" s="28">
        <f t="shared" si="38"/>
        <v>10</v>
      </c>
      <c r="F2239" s="15">
        <v>45580</v>
      </c>
      <c r="G2239" s="28">
        <v>100</v>
      </c>
      <c r="H2239" s="15">
        <v>47406</v>
      </c>
      <c r="I2239">
        <v>100</v>
      </c>
      <c r="J2239">
        <v>600</v>
      </c>
      <c r="K2239" s="28">
        <v>6</v>
      </c>
    </row>
    <row r="2240" spans="1:12" x14ac:dyDescent="0.2">
      <c r="A2240" s="28" t="s">
        <v>8</v>
      </c>
      <c r="B2240" t="s">
        <v>30</v>
      </c>
      <c r="C2240" s="30" t="s">
        <v>61</v>
      </c>
      <c r="D2240" s="28">
        <f>YEAR(TableauFlitrage[[#This Row],[Date_d_adjudication]])</f>
        <v>2024</v>
      </c>
      <c r="E2240" s="28">
        <f t="shared" si="38"/>
        <v>10</v>
      </c>
      <c r="F2240" s="15">
        <v>45580</v>
      </c>
      <c r="G2240" s="28">
        <v>100</v>
      </c>
      <c r="H2240" s="15">
        <v>49232</v>
      </c>
      <c r="I2240">
        <v>100</v>
      </c>
      <c r="J2240">
        <v>5100</v>
      </c>
      <c r="K2240" s="28">
        <v>5.5</v>
      </c>
    </row>
    <row r="2241" spans="1:12" x14ac:dyDescent="0.2">
      <c r="A2241" s="28" t="s">
        <v>8</v>
      </c>
      <c r="B2241" t="s">
        <v>30</v>
      </c>
      <c r="C2241" s="30" t="s">
        <v>61</v>
      </c>
      <c r="D2241" s="28">
        <f>YEAR(TableauFlitrage[[#This Row],[Date_d_adjudication]])</f>
        <v>2024</v>
      </c>
      <c r="E2241" s="28">
        <f t="shared" si="38"/>
        <v>10</v>
      </c>
      <c r="F2241" s="15">
        <v>45580</v>
      </c>
      <c r="G2241" s="28">
        <v>100</v>
      </c>
      <c r="H2241" s="15">
        <v>49232</v>
      </c>
      <c r="I2241">
        <v>100</v>
      </c>
      <c r="J2241">
        <v>5050</v>
      </c>
      <c r="K2241" s="28">
        <v>6.5</v>
      </c>
    </row>
    <row r="2242" spans="1:12" x14ac:dyDescent="0.2">
      <c r="A2242" s="28" t="s">
        <v>8</v>
      </c>
      <c r="B2242" t="s">
        <v>30</v>
      </c>
      <c r="C2242" s="30" t="s">
        <v>61</v>
      </c>
      <c r="D2242" s="28">
        <f>YEAR(TableauFlitrage[[#This Row],[Date_d_adjudication]])</f>
        <v>2024</v>
      </c>
      <c r="E2242" s="28">
        <f t="shared" si="38"/>
        <v>10</v>
      </c>
      <c r="F2242" s="15">
        <v>45580</v>
      </c>
      <c r="G2242" s="28">
        <v>100</v>
      </c>
      <c r="H2242" s="15">
        <v>49232</v>
      </c>
      <c r="I2242">
        <v>100</v>
      </c>
      <c r="J2242">
        <v>24197.439999999999</v>
      </c>
      <c r="K2242" s="28">
        <v>6</v>
      </c>
    </row>
    <row r="2243" spans="1:12" x14ac:dyDescent="0.2">
      <c r="A2243" s="28" t="s">
        <v>8</v>
      </c>
      <c r="B2243" t="s">
        <v>30</v>
      </c>
      <c r="C2243" s="30" t="s">
        <v>61</v>
      </c>
      <c r="D2243" s="28">
        <f>YEAR(TableauFlitrage[[#This Row],[Date_d_adjudication]])</f>
        <v>2024</v>
      </c>
      <c r="E2243" s="28">
        <f t="shared" si="38"/>
        <v>10</v>
      </c>
      <c r="F2243" s="15">
        <v>45580</v>
      </c>
      <c r="G2243" s="28">
        <v>100</v>
      </c>
      <c r="H2243" s="15">
        <v>49232</v>
      </c>
      <c r="I2243">
        <v>100</v>
      </c>
      <c r="J2243">
        <v>2590</v>
      </c>
      <c r="K2243" s="28">
        <v>6.25</v>
      </c>
    </row>
    <row r="2244" spans="1:12" x14ac:dyDescent="0.2">
      <c r="A2244" s="28" t="s">
        <v>8</v>
      </c>
      <c r="B2244" t="s">
        <v>30</v>
      </c>
      <c r="C2244" s="30" t="s">
        <v>61</v>
      </c>
      <c r="D2244" s="28">
        <f>YEAR(TableauFlitrage[[#This Row],[Date_d_adjudication]])</f>
        <v>2024</v>
      </c>
      <c r="E2244" s="28">
        <f t="shared" si="38"/>
        <v>10</v>
      </c>
      <c r="F2244" s="15">
        <v>45580</v>
      </c>
      <c r="G2244" s="28">
        <v>100</v>
      </c>
      <c r="H2244" s="15">
        <v>49232</v>
      </c>
      <c r="I2244">
        <v>100</v>
      </c>
      <c r="J2244">
        <v>2700</v>
      </c>
      <c r="K2244" s="28">
        <v>6.2</v>
      </c>
    </row>
    <row r="2245" spans="1:12" x14ac:dyDescent="0.2">
      <c r="A2245" s="28" t="s">
        <v>8</v>
      </c>
      <c r="B2245" t="s">
        <v>30</v>
      </c>
      <c r="C2245" s="30" t="s">
        <v>54</v>
      </c>
      <c r="D2245" s="28">
        <f>YEAR(TableauFlitrage[[#This Row],[Date_d_adjudication]])</f>
        <v>2024</v>
      </c>
      <c r="E2245" s="28">
        <f t="shared" si="38"/>
        <v>10</v>
      </c>
      <c r="F2245" s="15">
        <v>45580</v>
      </c>
      <c r="G2245" s="28">
        <v>91.360799999999998</v>
      </c>
      <c r="H2245" s="15">
        <v>46677</v>
      </c>
      <c r="I2245">
        <v>12.933299999999999</v>
      </c>
      <c r="J2245">
        <v>15000</v>
      </c>
      <c r="K2245" s="28">
        <v>6</v>
      </c>
      <c r="L2245">
        <v>9.3699999999999992</v>
      </c>
    </row>
    <row r="2246" spans="1:12" x14ac:dyDescent="0.2">
      <c r="A2246" s="28" t="s">
        <v>7</v>
      </c>
      <c r="B2246" s="2" t="s">
        <v>29</v>
      </c>
      <c r="C2246" s="30">
        <v>0.5</v>
      </c>
      <c r="D2246" s="28">
        <f>YEAR(TableauFlitrage[[#This Row],[Date_d_adjudication]])</f>
        <v>2024</v>
      </c>
      <c r="E2246" s="28">
        <f t="shared" si="38"/>
        <v>10</v>
      </c>
      <c r="F2246" s="15">
        <v>45581</v>
      </c>
      <c r="G2246" s="28">
        <v>96.675893000000002</v>
      </c>
      <c r="H2246" s="15">
        <v>45763</v>
      </c>
      <c r="I2246">
        <v>81.451999999999998</v>
      </c>
      <c r="J2246">
        <v>25000</v>
      </c>
      <c r="K2246" s="28">
        <v>6.8011999999999997</v>
      </c>
    </row>
    <row r="2247" spans="1:12" x14ac:dyDescent="0.2">
      <c r="A2247" s="28" t="s">
        <v>7</v>
      </c>
      <c r="B2247" s="2" t="s">
        <v>29</v>
      </c>
      <c r="C2247" s="30">
        <v>1</v>
      </c>
      <c r="D2247" s="28">
        <f>YEAR(TableauFlitrage[[#This Row],[Date_d_adjudication]])</f>
        <v>2024</v>
      </c>
      <c r="E2247" s="28">
        <f t="shared" si="38"/>
        <v>10</v>
      </c>
      <c r="F2247" s="15">
        <v>45581</v>
      </c>
      <c r="G2247" s="28">
        <v>93.293411000000006</v>
      </c>
      <c r="H2247" s="15">
        <v>45945</v>
      </c>
      <c r="I2247">
        <v>30.49</v>
      </c>
      <c r="J2247">
        <v>10000</v>
      </c>
      <c r="K2247" s="28">
        <v>7.1097000000000001</v>
      </c>
    </row>
    <row r="2248" spans="1:12" x14ac:dyDescent="0.2">
      <c r="A2248" s="28" t="s">
        <v>9</v>
      </c>
      <c r="B2248" s="2" t="s">
        <v>29</v>
      </c>
      <c r="C2248" s="30">
        <v>0.25</v>
      </c>
      <c r="D2248" s="28">
        <f>YEAR(TableauFlitrage[[#This Row],[Date_d_adjudication]])</f>
        <v>2024</v>
      </c>
      <c r="E2248" s="28">
        <f t="shared" si="38"/>
        <v>10</v>
      </c>
      <c r="F2248" s="15">
        <v>45581</v>
      </c>
      <c r="G2248" s="28">
        <v>98.637619000000001</v>
      </c>
      <c r="H2248" s="15">
        <v>45660</v>
      </c>
      <c r="I2248">
        <v>114.71429999999999</v>
      </c>
      <c r="J2248">
        <v>7000</v>
      </c>
      <c r="K2248" s="28">
        <v>6.4574999999999996</v>
      </c>
    </row>
    <row r="2249" spans="1:12" x14ac:dyDescent="0.2">
      <c r="A2249" s="28" t="s">
        <v>9</v>
      </c>
      <c r="B2249" s="2" t="s">
        <v>29</v>
      </c>
      <c r="C2249" s="30">
        <v>0.5</v>
      </c>
      <c r="D2249" s="28">
        <f>YEAR(TableauFlitrage[[#This Row],[Date_d_adjudication]])</f>
        <v>2024</v>
      </c>
      <c r="E2249" s="28">
        <f t="shared" si="38"/>
        <v>10</v>
      </c>
      <c r="F2249" s="15">
        <v>45581</v>
      </c>
      <c r="G2249" s="28">
        <v>97.070694000000003</v>
      </c>
      <c r="H2249" s="15">
        <v>45958</v>
      </c>
      <c r="I2249">
        <v>80</v>
      </c>
      <c r="J2249">
        <v>5000</v>
      </c>
      <c r="K2249" s="28">
        <v>6.7477</v>
      </c>
    </row>
    <row r="2250" spans="1:12" x14ac:dyDescent="0.2">
      <c r="A2250" s="28" t="s">
        <v>11</v>
      </c>
      <c r="B2250" t="s">
        <v>30</v>
      </c>
      <c r="C2250" s="30" t="s">
        <v>54</v>
      </c>
      <c r="D2250" s="28">
        <f>YEAR(TableauFlitrage[[#This Row],[Date_d_adjudication]])</f>
        <v>2024</v>
      </c>
      <c r="E2250" s="28">
        <f t="shared" si="38"/>
        <v>10</v>
      </c>
      <c r="F2250" s="15">
        <v>45581</v>
      </c>
      <c r="G2250" s="28">
        <v>90.1815</v>
      </c>
      <c r="H2250" s="15">
        <v>46678</v>
      </c>
      <c r="I2250">
        <v>21.654</v>
      </c>
      <c r="J2250">
        <v>30000</v>
      </c>
      <c r="K2250" s="28">
        <v>6.5</v>
      </c>
      <c r="L2250">
        <v>10.39</v>
      </c>
    </row>
    <row r="2251" spans="1:12" x14ac:dyDescent="0.2">
      <c r="A2251" s="28" t="s">
        <v>7</v>
      </c>
      <c r="B2251" s="2" t="s">
        <v>29</v>
      </c>
      <c r="C2251" s="30">
        <v>0.5</v>
      </c>
      <c r="D2251" s="28">
        <f>YEAR(TableauFlitrage[[#This Row],[Date_d_adjudication]])</f>
        <v>2024</v>
      </c>
      <c r="E2251" s="28">
        <f t="shared" si="38"/>
        <v>10</v>
      </c>
      <c r="F2251" s="15">
        <v>45586</v>
      </c>
      <c r="G2251" s="28">
        <v>96.695419000000001</v>
      </c>
      <c r="H2251" s="15">
        <v>45770</v>
      </c>
      <c r="I2251">
        <v>110</v>
      </c>
      <c r="J2251">
        <v>15000</v>
      </c>
      <c r="K2251" s="28">
        <v>6.7599</v>
      </c>
    </row>
    <row r="2252" spans="1:12" x14ac:dyDescent="0.2">
      <c r="A2252" s="28" t="s">
        <v>8</v>
      </c>
      <c r="B2252" s="2" t="s">
        <v>29</v>
      </c>
      <c r="C2252" s="30">
        <v>0.5</v>
      </c>
      <c r="D2252" s="28">
        <f>YEAR(TableauFlitrage[[#This Row],[Date_d_adjudication]])</f>
        <v>2024</v>
      </c>
      <c r="E2252" s="28">
        <f t="shared" si="38"/>
        <v>10</v>
      </c>
      <c r="F2252" s="15">
        <v>45587</v>
      </c>
      <c r="G2252" s="28">
        <v>96.768624000000003</v>
      </c>
      <c r="H2252" s="15">
        <v>45764</v>
      </c>
      <c r="I2252">
        <v>88.173299999999998</v>
      </c>
      <c r="J2252">
        <v>75000</v>
      </c>
      <c r="K2252" s="28">
        <v>6.83</v>
      </c>
    </row>
    <row r="2253" spans="1:12" x14ac:dyDescent="0.2">
      <c r="A2253" s="28" t="s">
        <v>8</v>
      </c>
      <c r="B2253" s="2" t="s">
        <v>29</v>
      </c>
      <c r="C2253" s="30">
        <v>1</v>
      </c>
      <c r="D2253" s="28">
        <f>YEAR(TableauFlitrage[[#This Row],[Date_d_adjudication]])</f>
        <v>2024</v>
      </c>
      <c r="E2253" s="28">
        <f t="shared" si="38"/>
        <v>10</v>
      </c>
      <c r="F2253" s="15">
        <v>45587</v>
      </c>
      <c r="G2253" s="28">
        <v>93.058333000000005</v>
      </c>
      <c r="H2253" s="15">
        <v>45946</v>
      </c>
      <c r="I2253">
        <v>11.4663</v>
      </c>
      <c r="J2253">
        <v>175000</v>
      </c>
      <c r="K2253" s="28">
        <v>7.5221999999999998</v>
      </c>
    </row>
    <row r="2254" spans="1:12" x14ac:dyDescent="0.2">
      <c r="A2254" s="28" t="s">
        <v>8</v>
      </c>
      <c r="B2254" s="2" t="s">
        <v>29</v>
      </c>
      <c r="C2254" s="30">
        <v>1</v>
      </c>
      <c r="D2254" s="28">
        <f>YEAR(TableauFlitrage[[#This Row],[Date_d_adjudication]])</f>
        <v>2024</v>
      </c>
      <c r="E2254" s="28">
        <f t="shared" si="38"/>
        <v>10</v>
      </c>
      <c r="F2254" s="15">
        <v>45587</v>
      </c>
      <c r="G2254" s="28">
        <v>92.922222000000005</v>
      </c>
      <c r="H2254" s="15">
        <v>45953</v>
      </c>
      <c r="I2254">
        <v>9.3717000000000006</v>
      </c>
      <c r="J2254">
        <v>113000</v>
      </c>
      <c r="K2254" s="28">
        <v>7.5331999999999999</v>
      </c>
    </row>
    <row r="2255" spans="1:12" x14ac:dyDescent="0.2">
      <c r="A2255" s="28" t="s">
        <v>9</v>
      </c>
      <c r="B2255" s="2" t="s">
        <v>29</v>
      </c>
      <c r="C2255" s="30">
        <v>0.5</v>
      </c>
      <c r="D2255" s="28">
        <f>YEAR(TableauFlitrage[[#This Row],[Date_d_adjudication]])</f>
        <v>2024</v>
      </c>
      <c r="E2255" s="28">
        <f t="shared" si="38"/>
        <v>10</v>
      </c>
      <c r="F2255" s="15">
        <v>45588</v>
      </c>
      <c r="G2255" s="28">
        <v>96.890977000000007</v>
      </c>
      <c r="H2255" s="15">
        <v>45765</v>
      </c>
      <c r="I2255">
        <v>27.088899999999999</v>
      </c>
      <c r="J2255">
        <v>9000</v>
      </c>
      <c r="K2255" s="28">
        <v>6.6009000000000002</v>
      </c>
    </row>
    <row r="2256" spans="1:12" x14ac:dyDescent="0.2">
      <c r="A2256" s="28" t="s">
        <v>9</v>
      </c>
      <c r="B2256" s="2" t="s">
        <v>29</v>
      </c>
      <c r="C2256" s="30">
        <v>1</v>
      </c>
      <c r="D2256" s="28">
        <f>YEAR(TableauFlitrage[[#This Row],[Date_d_adjudication]])</f>
        <v>2024</v>
      </c>
      <c r="E2256" s="28">
        <f t="shared" si="38"/>
        <v>10</v>
      </c>
      <c r="F2256" s="15">
        <v>45588</v>
      </c>
      <c r="G2256" s="28">
        <v>93.441174000000004</v>
      </c>
      <c r="H2256" s="15">
        <v>45954</v>
      </c>
      <c r="I2256">
        <v>45.72</v>
      </c>
      <c r="J2256">
        <v>7500</v>
      </c>
      <c r="K2256" s="28">
        <v>6.9420999999999999</v>
      </c>
    </row>
    <row r="2257" spans="1:12" x14ac:dyDescent="0.2">
      <c r="A2257" s="28" t="s">
        <v>11</v>
      </c>
      <c r="B2257" s="2" t="s">
        <v>29</v>
      </c>
      <c r="C2257" s="30">
        <v>0.5</v>
      </c>
      <c r="D2257" s="28">
        <f>YEAR(TableauFlitrage[[#This Row],[Date_d_adjudication]])</f>
        <v>2024</v>
      </c>
      <c r="E2257" s="28">
        <f t="shared" si="38"/>
        <v>10</v>
      </c>
      <c r="F2257" s="15">
        <v>45588</v>
      </c>
      <c r="G2257" s="28">
        <v>96.587500000000006</v>
      </c>
      <c r="H2257" s="15">
        <v>45772</v>
      </c>
      <c r="I2257">
        <v>95.98</v>
      </c>
      <c r="J2257">
        <v>10000</v>
      </c>
      <c r="K2257" s="28">
        <v>6.9885000000000002</v>
      </c>
    </row>
    <row r="2258" spans="1:12" x14ac:dyDescent="0.2">
      <c r="A2258" s="28" t="s">
        <v>11</v>
      </c>
      <c r="B2258" t="s">
        <v>30</v>
      </c>
      <c r="C2258" s="30" t="s">
        <v>54</v>
      </c>
      <c r="D2258" s="28">
        <f>YEAR(TableauFlitrage[[#This Row],[Date_d_adjudication]])</f>
        <v>2024</v>
      </c>
      <c r="E2258" s="28">
        <f t="shared" si="38"/>
        <v>10</v>
      </c>
      <c r="F2258" s="15">
        <v>45588</v>
      </c>
      <c r="G2258" s="28">
        <v>90.066299999999998</v>
      </c>
      <c r="H2258" s="15">
        <v>46685</v>
      </c>
      <c r="I2258">
        <v>15.114599999999999</v>
      </c>
      <c r="J2258">
        <v>30000</v>
      </c>
      <c r="K2258" s="28">
        <v>6.5</v>
      </c>
      <c r="L2258">
        <v>10.44</v>
      </c>
    </row>
    <row r="2259" spans="1:12" x14ac:dyDescent="0.2">
      <c r="A2259" s="28" t="s">
        <v>7</v>
      </c>
      <c r="B2259" s="2" t="s">
        <v>29</v>
      </c>
      <c r="C2259" s="30">
        <v>0.25</v>
      </c>
      <c r="D2259" s="28">
        <f>YEAR(TableauFlitrage[[#This Row],[Date_d_adjudication]])</f>
        <v>2024</v>
      </c>
      <c r="E2259" s="28">
        <f t="shared" si="38"/>
        <v>10</v>
      </c>
      <c r="F2259" s="15">
        <v>45593</v>
      </c>
      <c r="G2259" s="28">
        <v>98.382221999999999</v>
      </c>
      <c r="H2259" s="15">
        <v>45686</v>
      </c>
      <c r="I2259">
        <v>100</v>
      </c>
      <c r="J2259">
        <v>9251</v>
      </c>
      <c r="K2259" s="28">
        <v>6.5052000000000003</v>
      </c>
    </row>
    <row r="2260" spans="1:12" x14ac:dyDescent="0.2">
      <c r="A2260" s="28" t="s">
        <v>7</v>
      </c>
      <c r="B2260" s="2" t="s">
        <v>29</v>
      </c>
      <c r="C2260" s="30">
        <v>0.5</v>
      </c>
      <c r="D2260" s="28">
        <f>YEAR(TableauFlitrage[[#This Row],[Date_d_adjudication]])</f>
        <v>2024</v>
      </c>
      <c r="E2260" s="28">
        <f t="shared" si="38"/>
        <v>10</v>
      </c>
      <c r="F2260" s="15">
        <v>45593</v>
      </c>
      <c r="G2260" s="28">
        <v>96.663332999999994</v>
      </c>
      <c r="H2260" s="15">
        <v>45777</v>
      </c>
      <c r="I2260">
        <v>100</v>
      </c>
      <c r="J2260">
        <v>9251</v>
      </c>
      <c r="K2260" s="28">
        <v>6.8277999999999999</v>
      </c>
    </row>
    <row r="2261" spans="1:12" x14ac:dyDescent="0.2">
      <c r="A2261" s="28" t="s">
        <v>7</v>
      </c>
      <c r="B2261" s="2" t="s">
        <v>29</v>
      </c>
      <c r="C2261" s="30">
        <v>1</v>
      </c>
      <c r="D2261" s="28">
        <f>YEAR(TableauFlitrage[[#This Row],[Date_d_adjudication]])</f>
        <v>2024</v>
      </c>
      <c r="E2261" s="28">
        <f t="shared" si="38"/>
        <v>10</v>
      </c>
      <c r="F2261" s="15">
        <v>45593</v>
      </c>
      <c r="G2261" s="28">
        <v>93.326667</v>
      </c>
      <c r="H2261" s="15">
        <v>45959</v>
      </c>
      <c r="I2261">
        <v>80.533299999999997</v>
      </c>
      <c r="J2261">
        <v>15000</v>
      </c>
      <c r="K2261" s="28">
        <v>7.0719000000000003</v>
      </c>
    </row>
    <row r="2262" spans="1:12" x14ac:dyDescent="0.2">
      <c r="A2262" s="28" t="s">
        <v>7</v>
      </c>
      <c r="B2262" s="2" t="s">
        <v>29</v>
      </c>
      <c r="C2262" s="30">
        <v>1</v>
      </c>
      <c r="D2262" s="28">
        <f>YEAR(TableauFlitrage[[#This Row],[Date_d_adjudication]])</f>
        <v>2024</v>
      </c>
      <c r="E2262" s="28">
        <f t="shared" si="38"/>
        <v>10</v>
      </c>
      <c r="F2262" s="15">
        <v>45593</v>
      </c>
      <c r="G2262" s="28">
        <v>93.225555999999997</v>
      </c>
      <c r="H2262" s="15">
        <v>45959</v>
      </c>
      <c r="I2262">
        <v>100</v>
      </c>
      <c r="J2262">
        <v>29392</v>
      </c>
      <c r="K2262" s="28">
        <v>7.1868999999999996</v>
      </c>
    </row>
    <row r="2263" spans="1:12" x14ac:dyDescent="0.2">
      <c r="A2263" s="28" t="s">
        <v>7</v>
      </c>
      <c r="B2263" s="2" t="s">
        <v>29</v>
      </c>
      <c r="C2263" s="30">
        <v>0.5</v>
      </c>
      <c r="D2263" s="28">
        <f>YEAR(TableauFlitrage[[#This Row],[Date_d_adjudication]])</f>
        <v>2024</v>
      </c>
      <c r="E2263" s="28">
        <f t="shared" si="38"/>
        <v>10</v>
      </c>
      <c r="F2263" s="15">
        <v>45593</v>
      </c>
      <c r="G2263" s="28">
        <v>99.058888999999994</v>
      </c>
      <c r="H2263" s="15">
        <v>45651</v>
      </c>
      <c r="I2263">
        <v>100</v>
      </c>
      <c r="J2263">
        <v>29392</v>
      </c>
      <c r="K2263" s="28">
        <v>6.1074999999999999</v>
      </c>
    </row>
    <row r="2264" spans="1:12" x14ac:dyDescent="0.2">
      <c r="A2264" s="28" t="s">
        <v>7</v>
      </c>
      <c r="B2264" s="2" t="s">
        <v>29</v>
      </c>
      <c r="C2264" s="30">
        <v>1</v>
      </c>
      <c r="D2264" s="28">
        <f>YEAR(TableauFlitrage[[#This Row],[Date_d_adjudication]])</f>
        <v>2024</v>
      </c>
      <c r="E2264" s="28">
        <f t="shared" si="38"/>
        <v>10</v>
      </c>
      <c r="F2264" s="15">
        <v>45593</v>
      </c>
      <c r="G2264" s="28">
        <v>99.425309999999996</v>
      </c>
      <c r="H2264" s="15">
        <v>45630</v>
      </c>
      <c r="I2264">
        <v>100</v>
      </c>
      <c r="J2264">
        <v>8938</v>
      </c>
      <c r="K2264" s="28">
        <v>5.9452999999999996</v>
      </c>
    </row>
    <row r="2265" spans="1:12" x14ac:dyDescent="0.2">
      <c r="A2265" s="28" t="s">
        <v>7</v>
      </c>
      <c r="B2265" s="2" t="s">
        <v>29</v>
      </c>
      <c r="C2265" s="30">
        <v>1</v>
      </c>
      <c r="D2265" s="28">
        <f>YEAR(TableauFlitrage[[#This Row],[Date_d_adjudication]])</f>
        <v>2024</v>
      </c>
      <c r="E2265" s="28">
        <f t="shared" si="38"/>
        <v>10</v>
      </c>
      <c r="F2265" s="15">
        <v>45593</v>
      </c>
      <c r="G2265" s="28">
        <v>99.156110999999996</v>
      </c>
      <c r="H2265" s="15">
        <v>45644</v>
      </c>
      <c r="I2265">
        <v>100</v>
      </c>
      <c r="J2265">
        <v>7923</v>
      </c>
      <c r="K2265" s="28">
        <v>6.2527999999999997</v>
      </c>
    </row>
    <row r="2266" spans="1:12" x14ac:dyDescent="0.2">
      <c r="A2266" s="28" t="s">
        <v>8</v>
      </c>
      <c r="B2266" s="2" t="s">
        <v>29</v>
      </c>
      <c r="C2266" s="30">
        <v>0.5</v>
      </c>
      <c r="D2266" s="28">
        <f>YEAR(TableauFlitrage[[#This Row],[Date_d_adjudication]])</f>
        <v>2024</v>
      </c>
      <c r="E2266" s="28">
        <f t="shared" ref="E2266:E2325" si="39">MONTH(F2266)</f>
        <v>10</v>
      </c>
      <c r="F2266" s="15">
        <v>45594</v>
      </c>
      <c r="G2266" s="28">
        <v>96.968063000000001</v>
      </c>
      <c r="H2266" s="15">
        <v>45764</v>
      </c>
      <c r="I2266">
        <v>11.1427</v>
      </c>
      <c r="J2266">
        <v>75000</v>
      </c>
      <c r="K2266" s="28">
        <v>6.7001999999999997</v>
      </c>
    </row>
    <row r="2267" spans="1:12" x14ac:dyDescent="0.2">
      <c r="A2267" s="28" t="s">
        <v>8</v>
      </c>
      <c r="B2267" s="2" t="s">
        <v>29</v>
      </c>
      <c r="C2267" s="30">
        <v>1</v>
      </c>
      <c r="D2267" s="28">
        <f>YEAR(TableauFlitrage[[#This Row],[Date_d_adjudication]])</f>
        <v>2024</v>
      </c>
      <c r="E2267" s="28">
        <f t="shared" si="39"/>
        <v>10</v>
      </c>
      <c r="F2267" s="15">
        <v>45594</v>
      </c>
      <c r="G2267" s="28">
        <v>93.313518999999999</v>
      </c>
      <c r="H2267" s="15">
        <v>45946</v>
      </c>
      <c r="I2267">
        <v>12.8994</v>
      </c>
      <c r="J2267">
        <v>175000</v>
      </c>
      <c r="K2267" s="28">
        <v>7.3703000000000003</v>
      </c>
    </row>
    <row r="2268" spans="1:12" x14ac:dyDescent="0.2">
      <c r="A2268" s="28" t="s">
        <v>8</v>
      </c>
      <c r="B2268" s="2" t="s">
        <v>29</v>
      </c>
      <c r="C2268" s="30">
        <v>1</v>
      </c>
      <c r="D2268" s="28">
        <f>YEAR(TableauFlitrage[[#This Row],[Date_d_adjudication]])</f>
        <v>2024</v>
      </c>
      <c r="E2268" s="28">
        <f t="shared" si="39"/>
        <v>10</v>
      </c>
      <c r="F2268" s="15">
        <v>45594</v>
      </c>
      <c r="G2268" s="28">
        <v>93.058413000000002</v>
      </c>
      <c r="H2268" s="15">
        <v>45953</v>
      </c>
      <c r="I2268">
        <v>50.491999999999997</v>
      </c>
      <c r="J2268">
        <v>113000</v>
      </c>
      <c r="K2268" s="28">
        <v>7.5221</v>
      </c>
    </row>
    <row r="2269" spans="1:12" x14ac:dyDescent="0.2">
      <c r="A2269" s="28" t="s">
        <v>9</v>
      </c>
      <c r="B2269" s="2" t="s">
        <v>29</v>
      </c>
      <c r="C2269" s="30">
        <v>0.5</v>
      </c>
      <c r="D2269" s="28">
        <f>YEAR(TableauFlitrage[[#This Row],[Date_d_adjudication]])</f>
        <v>2024</v>
      </c>
      <c r="E2269" s="28">
        <f t="shared" si="39"/>
        <v>10</v>
      </c>
      <c r="F2269" s="15">
        <v>45595</v>
      </c>
      <c r="G2269" s="28">
        <v>96.758820999999998</v>
      </c>
      <c r="H2269" s="15">
        <v>45779</v>
      </c>
      <c r="I2269">
        <v>56.447099999999999</v>
      </c>
      <c r="J2269">
        <v>8500</v>
      </c>
      <c r="K2269" s="28">
        <v>6.6258999999999997</v>
      </c>
    </row>
    <row r="2270" spans="1:12" x14ac:dyDescent="0.2">
      <c r="A2270" s="28" t="s">
        <v>11</v>
      </c>
      <c r="B2270" t="s">
        <v>30</v>
      </c>
      <c r="C2270" s="30" t="s">
        <v>53</v>
      </c>
      <c r="D2270" s="28">
        <f>YEAR(TableauFlitrage[[#This Row],[Date_d_adjudication]])</f>
        <v>2024</v>
      </c>
      <c r="E2270" s="28">
        <f t="shared" si="39"/>
        <v>10</v>
      </c>
      <c r="F2270" s="15">
        <v>45595</v>
      </c>
      <c r="G2270" s="28">
        <v>93.322500000000005</v>
      </c>
      <c r="H2270" s="15">
        <v>46327</v>
      </c>
      <c r="I2270">
        <v>42.537700000000001</v>
      </c>
      <c r="J2270">
        <v>30000</v>
      </c>
      <c r="K2270" s="28">
        <v>6.5</v>
      </c>
      <c r="L2270">
        <v>10.28</v>
      </c>
    </row>
    <row r="2271" spans="1:12" x14ac:dyDescent="0.2">
      <c r="A2271" s="28" t="s">
        <v>8</v>
      </c>
      <c r="B2271" t="s">
        <v>30</v>
      </c>
      <c r="C2271" s="30" t="s">
        <v>54</v>
      </c>
      <c r="D2271" s="28">
        <f>YEAR(TableauFlitrage[[#This Row],[Date_d_adjudication]])</f>
        <v>2024</v>
      </c>
      <c r="E2271" s="28">
        <f t="shared" si="39"/>
        <v>10</v>
      </c>
      <c r="F2271" s="15">
        <v>45596</v>
      </c>
      <c r="G2271" s="28">
        <v>100</v>
      </c>
      <c r="H2271" s="15">
        <v>46691</v>
      </c>
      <c r="I2271">
        <v>100</v>
      </c>
      <c r="J2271">
        <v>5750</v>
      </c>
      <c r="K2271" s="28">
        <v>5.75</v>
      </c>
    </row>
    <row r="2272" spans="1:12" x14ac:dyDescent="0.2">
      <c r="A2272" s="28" t="s">
        <v>8</v>
      </c>
      <c r="B2272" t="s">
        <v>30</v>
      </c>
      <c r="C2272" s="30" t="s">
        <v>56</v>
      </c>
      <c r="D2272" s="28">
        <f>YEAR(TableauFlitrage[[#This Row],[Date_d_adjudication]])</f>
        <v>2024</v>
      </c>
      <c r="E2272" s="28">
        <f t="shared" si="39"/>
        <v>10</v>
      </c>
      <c r="F2272" s="15">
        <v>45596</v>
      </c>
      <c r="G2272" s="28">
        <v>100</v>
      </c>
      <c r="H2272" s="15">
        <v>47057</v>
      </c>
      <c r="I2272">
        <v>100</v>
      </c>
      <c r="J2272">
        <v>4911.5</v>
      </c>
      <c r="K2272" s="28">
        <v>6</v>
      </c>
    </row>
    <row r="2273" spans="1:12" x14ac:dyDescent="0.2">
      <c r="A2273" s="28" t="s">
        <v>8</v>
      </c>
      <c r="B2273" t="s">
        <v>30</v>
      </c>
      <c r="C2273" s="30" t="s">
        <v>56</v>
      </c>
      <c r="D2273" s="28">
        <f>YEAR(TableauFlitrage[[#This Row],[Date_d_adjudication]])</f>
        <v>2024</v>
      </c>
      <c r="E2273" s="28">
        <f t="shared" si="39"/>
        <v>10</v>
      </c>
      <c r="F2273" s="15">
        <v>45596</v>
      </c>
      <c r="G2273" s="28">
        <v>100</v>
      </c>
      <c r="H2273" s="15">
        <v>47422</v>
      </c>
      <c r="I2273">
        <v>100</v>
      </c>
      <c r="J2273">
        <v>2500</v>
      </c>
      <c r="K2273" s="28">
        <v>5.9</v>
      </c>
    </row>
    <row r="2274" spans="1:12" x14ac:dyDescent="0.2">
      <c r="A2274" s="28" t="s">
        <v>8</v>
      </c>
      <c r="B2274" t="s">
        <v>30</v>
      </c>
      <c r="C2274" s="30" t="s">
        <v>55</v>
      </c>
      <c r="D2274" s="28">
        <f>YEAR(TableauFlitrage[[#This Row],[Date_d_adjudication]])</f>
        <v>2024</v>
      </c>
      <c r="E2274" s="28">
        <f t="shared" si="39"/>
        <v>10</v>
      </c>
      <c r="F2274" s="15">
        <v>45596</v>
      </c>
      <c r="G2274" s="28">
        <v>100</v>
      </c>
      <c r="H2274" s="15">
        <v>47422</v>
      </c>
      <c r="I2274">
        <v>100</v>
      </c>
      <c r="J2274">
        <v>4000</v>
      </c>
      <c r="K2274" s="28">
        <v>6.5</v>
      </c>
    </row>
    <row r="2275" spans="1:12" x14ac:dyDescent="0.2">
      <c r="A2275" s="28" t="s">
        <v>8</v>
      </c>
      <c r="B2275" t="s">
        <v>30</v>
      </c>
      <c r="C2275" s="30" t="s">
        <v>55</v>
      </c>
      <c r="D2275" s="28">
        <f>YEAR(TableauFlitrage[[#This Row],[Date_d_adjudication]])</f>
        <v>2024</v>
      </c>
      <c r="E2275" s="28">
        <f t="shared" si="39"/>
        <v>10</v>
      </c>
      <c r="F2275" s="15">
        <v>45596</v>
      </c>
      <c r="G2275" s="28">
        <v>100</v>
      </c>
      <c r="H2275" s="15">
        <v>47422</v>
      </c>
      <c r="I2275">
        <v>100</v>
      </c>
      <c r="J2275">
        <v>3575</v>
      </c>
      <c r="K2275" s="28">
        <v>5.4</v>
      </c>
    </row>
    <row r="2276" spans="1:12" x14ac:dyDescent="0.2">
      <c r="A2276" s="28" t="s">
        <v>8</v>
      </c>
      <c r="B2276" t="s">
        <v>30</v>
      </c>
      <c r="C2276" s="30" t="s">
        <v>58</v>
      </c>
      <c r="D2276" s="28">
        <f>YEAR(TableauFlitrage[[#This Row],[Date_d_adjudication]])</f>
        <v>2024</v>
      </c>
      <c r="E2276" s="28">
        <f t="shared" si="39"/>
        <v>10</v>
      </c>
      <c r="F2276" s="15">
        <v>45596</v>
      </c>
      <c r="G2276" s="28">
        <v>100</v>
      </c>
      <c r="H2276" s="15">
        <v>48152</v>
      </c>
      <c r="I2276">
        <v>100</v>
      </c>
      <c r="J2276">
        <v>5500</v>
      </c>
      <c r="K2276" s="28">
        <v>6.5</v>
      </c>
    </row>
    <row r="2277" spans="1:12" x14ac:dyDescent="0.2">
      <c r="A2277" s="28" t="s">
        <v>8</v>
      </c>
      <c r="B2277" t="s">
        <v>30</v>
      </c>
      <c r="C2277" s="30" t="s">
        <v>58</v>
      </c>
      <c r="D2277" s="28">
        <f>YEAR(TableauFlitrage[[#This Row],[Date_d_adjudication]])</f>
        <v>2024</v>
      </c>
      <c r="E2277" s="28">
        <f t="shared" si="39"/>
        <v>10</v>
      </c>
      <c r="F2277" s="15">
        <v>45596</v>
      </c>
      <c r="G2277" s="28">
        <v>100</v>
      </c>
      <c r="H2277" s="15">
        <v>48152</v>
      </c>
      <c r="I2277">
        <v>100</v>
      </c>
      <c r="J2277">
        <v>2400</v>
      </c>
      <c r="K2277" s="28">
        <v>6</v>
      </c>
    </row>
    <row r="2278" spans="1:12" x14ac:dyDescent="0.2">
      <c r="A2278" s="28" t="s">
        <v>8</v>
      </c>
      <c r="B2278" t="s">
        <v>30</v>
      </c>
      <c r="C2278" s="30" t="s">
        <v>59</v>
      </c>
      <c r="D2278" s="28">
        <f>YEAR(TableauFlitrage[[#This Row],[Date_d_adjudication]])</f>
        <v>2024</v>
      </c>
      <c r="E2278" s="28">
        <f t="shared" si="39"/>
        <v>10</v>
      </c>
      <c r="F2278" s="15">
        <v>45596</v>
      </c>
      <c r="G2278" s="28">
        <v>100</v>
      </c>
      <c r="H2278" s="15">
        <v>48518</v>
      </c>
      <c r="I2278">
        <v>100</v>
      </c>
      <c r="J2278">
        <v>3000</v>
      </c>
      <c r="K2278" s="28">
        <v>6.75</v>
      </c>
    </row>
    <row r="2279" spans="1:12" x14ac:dyDescent="0.2">
      <c r="A2279" s="28" t="s">
        <v>8</v>
      </c>
      <c r="B2279" t="s">
        <v>30</v>
      </c>
      <c r="C2279" s="30" t="s">
        <v>59</v>
      </c>
      <c r="D2279" s="28">
        <f>YEAR(TableauFlitrage[[#This Row],[Date_d_adjudication]])</f>
        <v>2024</v>
      </c>
      <c r="E2279" s="28">
        <f t="shared" si="39"/>
        <v>10</v>
      </c>
      <c r="F2279" s="15">
        <v>45596</v>
      </c>
      <c r="G2279" s="28">
        <v>100</v>
      </c>
      <c r="H2279" s="15">
        <v>48518</v>
      </c>
      <c r="I2279">
        <v>100</v>
      </c>
      <c r="J2279">
        <v>3450</v>
      </c>
      <c r="K2279" s="28">
        <v>6.5</v>
      </c>
    </row>
    <row r="2280" spans="1:12" x14ac:dyDescent="0.2">
      <c r="A2280" s="28" t="s">
        <v>8</v>
      </c>
      <c r="B2280" s="2" t="s">
        <v>29</v>
      </c>
      <c r="C2280" s="30">
        <v>0.5</v>
      </c>
      <c r="D2280" s="28">
        <f>YEAR(TableauFlitrage[[#This Row],[Date_d_adjudication]])</f>
        <v>2024</v>
      </c>
      <c r="E2280" s="28">
        <f t="shared" si="39"/>
        <v>11</v>
      </c>
      <c r="F2280" s="15">
        <v>45601</v>
      </c>
      <c r="G2280" s="28">
        <v>96.956203000000002</v>
      </c>
      <c r="H2280" s="15">
        <v>45764</v>
      </c>
      <c r="I2280">
        <v>43.310699999999997</v>
      </c>
      <c r="J2280">
        <v>75000</v>
      </c>
      <c r="K2280" s="28">
        <v>7.0197000000000003</v>
      </c>
    </row>
    <row r="2281" spans="1:12" x14ac:dyDescent="0.2">
      <c r="A2281" s="28" t="s">
        <v>8</v>
      </c>
      <c r="B2281" s="2" t="s">
        <v>29</v>
      </c>
      <c r="C2281" s="30">
        <v>1</v>
      </c>
      <c r="D2281" s="28">
        <f>YEAR(TableauFlitrage[[#This Row],[Date_d_adjudication]])</f>
        <v>2024</v>
      </c>
      <c r="E2281" s="28">
        <f t="shared" si="39"/>
        <v>11</v>
      </c>
      <c r="F2281" s="15">
        <v>45601</v>
      </c>
      <c r="G2281" s="28">
        <v>92.922222000000005</v>
      </c>
      <c r="H2281" s="15">
        <v>45967</v>
      </c>
      <c r="I2281">
        <v>39.5</v>
      </c>
      <c r="J2281">
        <v>20000</v>
      </c>
      <c r="K2281" s="28">
        <v>7.5331999999999999</v>
      </c>
    </row>
    <row r="2282" spans="1:12" x14ac:dyDescent="0.2">
      <c r="A2282" s="28" t="s">
        <v>10</v>
      </c>
      <c r="B2282" s="2" t="s">
        <v>29</v>
      </c>
      <c r="C2282" s="30">
        <v>1</v>
      </c>
      <c r="D2282" s="28">
        <f>YEAR(TableauFlitrage[[#This Row],[Date_d_adjudication]])</f>
        <v>2024</v>
      </c>
      <c r="E2282" s="28">
        <f t="shared" si="39"/>
        <v>11</v>
      </c>
      <c r="F2282" s="15">
        <v>45601</v>
      </c>
      <c r="G2282" s="28">
        <v>93.100654000000006</v>
      </c>
      <c r="H2282" s="15">
        <v>45967</v>
      </c>
      <c r="I2282">
        <v>105.2294</v>
      </c>
      <c r="J2282">
        <v>17000</v>
      </c>
      <c r="K2282" s="28">
        <v>7.3292000000000002</v>
      </c>
    </row>
    <row r="2283" spans="1:12" x14ac:dyDescent="0.2">
      <c r="A2283" s="28" t="s">
        <v>9</v>
      </c>
      <c r="B2283" s="2" t="s">
        <v>29</v>
      </c>
      <c r="C2283" s="30">
        <v>0.5</v>
      </c>
      <c r="D2283" s="28">
        <f>YEAR(TableauFlitrage[[#This Row],[Date_d_adjudication]])</f>
        <v>2024</v>
      </c>
      <c r="E2283" s="28">
        <f t="shared" si="39"/>
        <v>11</v>
      </c>
      <c r="F2283" s="15">
        <v>45602</v>
      </c>
      <c r="G2283" s="28">
        <v>96.745034000000004</v>
      </c>
      <c r="H2283" s="15">
        <v>45786</v>
      </c>
      <c r="I2283">
        <v>44.757899999999999</v>
      </c>
      <c r="J2283">
        <v>9500</v>
      </c>
      <c r="K2283" s="28">
        <v>6.6550000000000002</v>
      </c>
    </row>
    <row r="2284" spans="1:12" x14ac:dyDescent="0.2">
      <c r="A2284" s="28" t="s">
        <v>11</v>
      </c>
      <c r="B2284" s="2" t="s">
        <v>29</v>
      </c>
      <c r="C2284" s="30">
        <v>0.5</v>
      </c>
      <c r="D2284" s="28">
        <f>YEAR(TableauFlitrage[[#This Row],[Date_d_adjudication]])</f>
        <v>2024</v>
      </c>
      <c r="E2284" s="28">
        <f t="shared" si="39"/>
        <v>11</v>
      </c>
      <c r="F2284" s="15">
        <v>45602</v>
      </c>
      <c r="G2284" s="28">
        <v>96.609993000000003</v>
      </c>
      <c r="H2284" s="15">
        <v>45786</v>
      </c>
      <c r="I2284">
        <v>24.33</v>
      </c>
      <c r="J2284">
        <v>10000</v>
      </c>
      <c r="K2284" s="28">
        <v>6.9408000000000003</v>
      </c>
    </row>
    <row r="2285" spans="1:12" x14ac:dyDescent="0.2">
      <c r="A2285" s="28" t="s">
        <v>9</v>
      </c>
      <c r="B2285" t="s">
        <v>30</v>
      </c>
      <c r="C2285" s="30" t="s">
        <v>55</v>
      </c>
      <c r="D2285" s="28">
        <f>YEAR(TableauFlitrage[[#This Row],[Date_d_adjudication]])</f>
        <v>2024</v>
      </c>
      <c r="E2285" s="28">
        <f t="shared" si="39"/>
        <v>11</v>
      </c>
      <c r="F2285" s="15">
        <v>45602</v>
      </c>
      <c r="G2285" s="28">
        <v>95.601200000000006</v>
      </c>
      <c r="H2285" s="15">
        <v>46247</v>
      </c>
      <c r="I2285">
        <v>61</v>
      </c>
      <c r="J2285">
        <v>10000</v>
      </c>
      <c r="K2285" s="28">
        <v>6.25</v>
      </c>
      <c r="L2285">
        <v>8.69</v>
      </c>
    </row>
    <row r="2286" spans="1:12" x14ac:dyDescent="0.2">
      <c r="A2286" s="28" t="s">
        <v>11</v>
      </c>
      <c r="B2286" t="s">
        <v>30</v>
      </c>
      <c r="C2286" s="30" t="s">
        <v>53</v>
      </c>
      <c r="D2286" s="28">
        <f>YEAR(TableauFlitrage[[#This Row],[Date_d_adjudication]])</f>
        <v>2024</v>
      </c>
      <c r="E2286" s="28">
        <f t="shared" si="39"/>
        <v>11</v>
      </c>
      <c r="F2286" s="15">
        <v>45602</v>
      </c>
      <c r="G2286" s="28">
        <v>93.522499999999994</v>
      </c>
      <c r="H2286" s="15">
        <v>46327</v>
      </c>
      <c r="I2286">
        <v>34.786700000000003</v>
      </c>
      <c r="J2286">
        <v>15000</v>
      </c>
      <c r="K2286" s="28">
        <v>6.5</v>
      </c>
      <c r="L2286">
        <v>10.16</v>
      </c>
    </row>
    <row r="2287" spans="1:12" x14ac:dyDescent="0.2">
      <c r="A2287" s="28" t="s">
        <v>7</v>
      </c>
      <c r="B2287" s="2" t="s">
        <v>29</v>
      </c>
      <c r="C2287" s="30">
        <v>0.5</v>
      </c>
      <c r="D2287" s="28">
        <f>YEAR(TableauFlitrage[[#This Row],[Date_d_adjudication]])</f>
        <v>2024</v>
      </c>
      <c r="E2287" s="28">
        <f t="shared" si="39"/>
        <v>11</v>
      </c>
      <c r="F2287" s="15">
        <v>45607</v>
      </c>
      <c r="G2287" s="28">
        <v>96.977828000000002</v>
      </c>
      <c r="H2287" s="15">
        <v>45791</v>
      </c>
      <c r="I2287">
        <v>89.27</v>
      </c>
      <c r="J2287">
        <v>20000</v>
      </c>
      <c r="K2287" s="28">
        <v>6.7971000000000004</v>
      </c>
    </row>
    <row r="2288" spans="1:12" x14ac:dyDescent="0.2">
      <c r="A2288" s="28" t="s">
        <v>8</v>
      </c>
      <c r="B2288" s="2" t="s">
        <v>29</v>
      </c>
      <c r="C2288" s="30">
        <v>1</v>
      </c>
      <c r="D2288" s="28">
        <f>YEAR(TableauFlitrage[[#This Row],[Date_d_adjudication]])</f>
        <v>2024</v>
      </c>
      <c r="E2288" s="28">
        <f t="shared" si="39"/>
        <v>11</v>
      </c>
      <c r="F2288" s="15">
        <v>45608</v>
      </c>
      <c r="G2288" s="28">
        <v>93.330556000000001</v>
      </c>
      <c r="H2288" s="15">
        <v>45953</v>
      </c>
      <c r="I2288">
        <v>2.1</v>
      </c>
      <c r="J2288">
        <v>100000</v>
      </c>
      <c r="K2288" s="28">
        <v>7.5002000000000004</v>
      </c>
    </row>
    <row r="2289" spans="1:12" x14ac:dyDescent="0.2">
      <c r="A2289" s="28" t="s">
        <v>8</v>
      </c>
      <c r="B2289" s="2" t="s">
        <v>29</v>
      </c>
      <c r="C2289" s="30">
        <v>1</v>
      </c>
      <c r="D2289" s="28">
        <f>YEAR(TableauFlitrage[[#This Row],[Date_d_adjudication]])</f>
        <v>2024</v>
      </c>
      <c r="E2289" s="28">
        <f t="shared" si="39"/>
        <v>11</v>
      </c>
      <c r="F2289" s="15">
        <v>45608</v>
      </c>
      <c r="G2289" s="28">
        <v>92.922222000000005</v>
      </c>
      <c r="H2289" s="15">
        <v>45974</v>
      </c>
      <c r="I2289">
        <v>12.1951</v>
      </c>
      <c r="J2289">
        <v>82000</v>
      </c>
      <c r="K2289" s="28">
        <v>7.5331999999999999</v>
      </c>
    </row>
    <row r="2290" spans="1:12" x14ac:dyDescent="0.2">
      <c r="A2290" s="28" t="s">
        <v>9</v>
      </c>
      <c r="B2290" s="2" t="s">
        <v>29</v>
      </c>
      <c r="C2290" s="30">
        <v>0.5</v>
      </c>
      <c r="D2290" s="28">
        <f>YEAR(TableauFlitrage[[#This Row],[Date_d_adjudication]])</f>
        <v>2024</v>
      </c>
      <c r="E2290" s="28">
        <f t="shared" si="39"/>
        <v>11</v>
      </c>
      <c r="F2290" s="15">
        <v>45609</v>
      </c>
      <c r="G2290" s="28">
        <v>96.674250000000001</v>
      </c>
      <c r="H2290" s="15">
        <v>45793</v>
      </c>
      <c r="I2290">
        <v>28.6632</v>
      </c>
      <c r="J2290">
        <v>9500</v>
      </c>
      <c r="K2290" s="28">
        <v>6.8047000000000004</v>
      </c>
    </row>
    <row r="2291" spans="1:12" x14ac:dyDescent="0.2">
      <c r="A2291" s="28" t="s">
        <v>11</v>
      </c>
      <c r="B2291" t="s">
        <v>30</v>
      </c>
      <c r="C2291" s="30" t="s">
        <v>54</v>
      </c>
      <c r="D2291" s="28">
        <f>YEAR(TableauFlitrage[[#This Row],[Date_d_adjudication]])</f>
        <v>2024</v>
      </c>
      <c r="E2291" s="28">
        <f t="shared" si="39"/>
        <v>11</v>
      </c>
      <c r="F2291" s="15">
        <v>45609</v>
      </c>
      <c r="G2291" s="28">
        <v>90</v>
      </c>
      <c r="H2291" s="15">
        <v>46706</v>
      </c>
      <c r="I2291">
        <v>44.291699999999999</v>
      </c>
      <c r="J2291">
        <v>30000</v>
      </c>
      <c r="K2291" s="28">
        <v>6.5</v>
      </c>
      <c r="L2291">
        <v>10.47</v>
      </c>
    </row>
    <row r="2292" spans="1:12" x14ac:dyDescent="0.2">
      <c r="A2292" s="28" t="s">
        <v>19</v>
      </c>
      <c r="B2292" s="2" t="s">
        <v>29</v>
      </c>
      <c r="C2292" s="30">
        <v>1</v>
      </c>
      <c r="D2292" s="28">
        <f>YEAR(TableauFlitrage[[#This Row],[Date_d_adjudication]])</f>
        <v>2024</v>
      </c>
      <c r="E2292" s="28">
        <f t="shared" si="39"/>
        <v>11</v>
      </c>
      <c r="F2292" s="15">
        <v>45614</v>
      </c>
      <c r="G2292" s="28">
        <v>92.620906000000005</v>
      </c>
      <c r="H2292" s="15">
        <v>45980</v>
      </c>
      <c r="I2292">
        <v>45.453299999999999</v>
      </c>
      <c r="J2292">
        <v>7500</v>
      </c>
      <c r="K2292" s="28">
        <v>7.8794000000000004</v>
      </c>
    </row>
    <row r="2293" spans="1:12" x14ac:dyDescent="0.2">
      <c r="A2293" s="28" t="s">
        <v>7</v>
      </c>
      <c r="B2293" s="2" t="s">
        <v>29</v>
      </c>
      <c r="C2293" s="30">
        <v>0.5</v>
      </c>
      <c r="D2293" s="28">
        <f>YEAR(TableauFlitrage[[#This Row],[Date_d_adjudication]])</f>
        <v>2024</v>
      </c>
      <c r="E2293" s="28">
        <f t="shared" si="39"/>
        <v>11</v>
      </c>
      <c r="F2293" s="15">
        <v>45614</v>
      </c>
      <c r="G2293" s="28">
        <v>96.697484000000003</v>
      </c>
      <c r="H2293" s="15">
        <v>45798</v>
      </c>
      <c r="I2293">
        <v>146.02500000000001</v>
      </c>
      <c r="J2293">
        <v>20000</v>
      </c>
      <c r="K2293" s="28">
        <v>6.7556000000000003</v>
      </c>
    </row>
    <row r="2294" spans="1:12" x14ac:dyDescent="0.2">
      <c r="A2294" s="28" t="s">
        <v>14</v>
      </c>
      <c r="B2294" t="s">
        <v>30</v>
      </c>
      <c r="C2294" s="30" t="s">
        <v>55</v>
      </c>
      <c r="D2294" s="28">
        <f>YEAR(TableauFlitrage[[#This Row],[Date_d_adjudication]])</f>
        <v>2024</v>
      </c>
      <c r="E2294" s="28">
        <f t="shared" si="39"/>
        <v>11</v>
      </c>
      <c r="F2294" s="15">
        <v>45614</v>
      </c>
      <c r="G2294" s="28">
        <v>88</v>
      </c>
      <c r="H2294" s="15">
        <v>47442</v>
      </c>
      <c r="I2294">
        <v>16.2</v>
      </c>
      <c r="J2294">
        <v>7500</v>
      </c>
      <c r="K2294" s="28">
        <v>7</v>
      </c>
      <c r="L2294">
        <v>10.119999999999999</v>
      </c>
    </row>
    <row r="2295" spans="1:12" x14ac:dyDescent="0.2">
      <c r="A2295" s="28" t="s">
        <v>14</v>
      </c>
      <c r="B2295" t="s">
        <v>30</v>
      </c>
      <c r="C2295" s="30" t="s">
        <v>56</v>
      </c>
      <c r="D2295" s="28">
        <f>YEAR(TableauFlitrage[[#This Row],[Date_d_adjudication]])</f>
        <v>2024</v>
      </c>
      <c r="E2295" s="28">
        <f t="shared" si="39"/>
        <v>11</v>
      </c>
      <c r="F2295" s="15">
        <v>45614</v>
      </c>
      <c r="G2295" s="28">
        <v>89</v>
      </c>
      <c r="H2295" s="15">
        <v>47077</v>
      </c>
      <c r="I2295">
        <v>4</v>
      </c>
      <c r="J2295">
        <v>10000</v>
      </c>
      <c r="K2295" s="28">
        <v>6.75</v>
      </c>
      <c r="L2295">
        <v>10.17</v>
      </c>
    </row>
    <row r="2296" spans="1:12" x14ac:dyDescent="0.2">
      <c r="A2296" s="28" t="s">
        <v>8</v>
      </c>
      <c r="B2296" s="2" t="s">
        <v>29</v>
      </c>
      <c r="C2296" s="30">
        <v>1</v>
      </c>
      <c r="D2296" s="28">
        <f>YEAR(TableauFlitrage[[#This Row],[Date_d_adjudication]])</f>
        <v>2024</v>
      </c>
      <c r="E2296" s="28">
        <f t="shared" si="39"/>
        <v>11</v>
      </c>
      <c r="F2296" s="15">
        <v>45615</v>
      </c>
      <c r="G2296" s="28">
        <v>93.058333000000005</v>
      </c>
      <c r="H2296" s="15">
        <v>45974</v>
      </c>
      <c r="I2296">
        <v>6.0975999999999999</v>
      </c>
      <c r="J2296">
        <v>82000</v>
      </c>
      <c r="K2296" s="28">
        <v>7.5221999999999998</v>
      </c>
    </row>
    <row r="2297" spans="1:12" x14ac:dyDescent="0.2">
      <c r="A2297" s="28" t="s">
        <v>8</v>
      </c>
      <c r="B2297" s="2" t="s">
        <v>29</v>
      </c>
      <c r="C2297" s="30">
        <v>1</v>
      </c>
      <c r="D2297" s="28">
        <f>YEAR(TableauFlitrage[[#This Row],[Date_d_adjudication]])</f>
        <v>2024</v>
      </c>
      <c r="E2297" s="28">
        <f t="shared" si="39"/>
        <v>11</v>
      </c>
      <c r="F2297" s="15">
        <v>45615</v>
      </c>
      <c r="G2297" s="28">
        <v>92.922222000000005</v>
      </c>
      <c r="H2297" s="15">
        <v>45981</v>
      </c>
      <c r="I2297">
        <v>33.333300000000001</v>
      </c>
      <c r="J2297">
        <v>15000</v>
      </c>
      <c r="K2297" s="28">
        <v>7.5331999999999999</v>
      </c>
    </row>
    <row r="2298" spans="1:12" x14ac:dyDescent="0.2">
      <c r="A2298" s="28" t="s">
        <v>9</v>
      </c>
      <c r="B2298" s="2" t="s">
        <v>29</v>
      </c>
      <c r="C2298" s="30">
        <v>0.5</v>
      </c>
      <c r="D2298" s="28">
        <f>YEAR(TableauFlitrage[[#This Row],[Date_d_adjudication]])</f>
        <v>2024</v>
      </c>
      <c r="E2298" s="28">
        <f t="shared" si="39"/>
        <v>11</v>
      </c>
      <c r="F2298" s="15">
        <v>45616</v>
      </c>
      <c r="G2298" s="28">
        <v>96.712945000000005</v>
      </c>
      <c r="H2298" s="15">
        <v>45800</v>
      </c>
      <c r="I2298">
        <v>14.0947</v>
      </c>
      <c r="J2298">
        <v>9500</v>
      </c>
      <c r="K2298" s="28">
        <v>6.7229000000000001</v>
      </c>
    </row>
    <row r="2299" spans="1:12" x14ac:dyDescent="0.2">
      <c r="A2299" s="28" t="s">
        <v>7</v>
      </c>
      <c r="B2299" s="2" t="s">
        <v>29</v>
      </c>
      <c r="C2299" s="30">
        <v>0.5</v>
      </c>
      <c r="D2299" s="28">
        <f>YEAR(TableauFlitrage[[#This Row],[Date_d_adjudication]])</f>
        <v>2024</v>
      </c>
      <c r="E2299" s="28">
        <f t="shared" si="39"/>
        <v>11</v>
      </c>
      <c r="F2299" s="15">
        <v>45621</v>
      </c>
      <c r="G2299" s="28">
        <v>96.675966000000003</v>
      </c>
      <c r="H2299" s="15">
        <v>45805</v>
      </c>
      <c r="I2299">
        <v>28.653300000000002</v>
      </c>
      <c r="J2299">
        <v>15000</v>
      </c>
      <c r="K2299" s="28">
        <v>6.8010999999999999</v>
      </c>
    </row>
    <row r="2300" spans="1:12" x14ac:dyDescent="0.2">
      <c r="A2300" s="28" t="s">
        <v>7</v>
      </c>
      <c r="B2300" t="s">
        <v>30</v>
      </c>
      <c r="C2300" s="30" t="s">
        <v>55</v>
      </c>
      <c r="D2300" s="28">
        <f>YEAR(TableauFlitrage[[#This Row],[Date_d_adjudication]])</f>
        <v>2024</v>
      </c>
      <c r="E2300" s="28">
        <f t="shared" si="39"/>
        <v>11</v>
      </c>
      <c r="F2300" s="15">
        <v>45621</v>
      </c>
      <c r="G2300" s="28">
        <v>94.944900000000004</v>
      </c>
      <c r="H2300" s="15">
        <v>47449</v>
      </c>
      <c r="I2300">
        <v>84.376300000000001</v>
      </c>
      <c r="J2300">
        <v>30000</v>
      </c>
      <c r="K2300" s="28">
        <v>6.7</v>
      </c>
      <c r="L2300">
        <v>7.95</v>
      </c>
    </row>
    <row r="2301" spans="1:12" x14ac:dyDescent="0.2">
      <c r="A2301" s="28" t="s">
        <v>8</v>
      </c>
      <c r="B2301" s="2" t="s">
        <v>29</v>
      </c>
      <c r="C2301" s="30">
        <v>0.25</v>
      </c>
      <c r="D2301" s="28">
        <f>YEAR(TableauFlitrage[[#This Row],[Date_d_adjudication]])</f>
        <v>2024</v>
      </c>
      <c r="E2301" s="28">
        <f t="shared" si="39"/>
        <v>11</v>
      </c>
      <c r="F2301" s="15">
        <v>45622</v>
      </c>
      <c r="G2301" s="28">
        <v>98.364528000000007</v>
      </c>
      <c r="H2301" s="15">
        <v>45715</v>
      </c>
      <c r="I2301">
        <v>100</v>
      </c>
      <c r="J2301">
        <v>25000</v>
      </c>
      <c r="K2301" s="28">
        <v>6.5776000000000003</v>
      </c>
    </row>
    <row r="2302" spans="1:12" x14ac:dyDescent="0.2">
      <c r="A2302" s="28" t="s">
        <v>8</v>
      </c>
      <c r="B2302" s="2" t="s">
        <v>29</v>
      </c>
      <c r="C2302" s="30">
        <v>0.5</v>
      </c>
      <c r="D2302" s="28">
        <f>YEAR(TableauFlitrage[[#This Row],[Date_d_adjudication]])</f>
        <v>2024</v>
      </c>
      <c r="E2302" s="28">
        <f t="shared" si="39"/>
        <v>11</v>
      </c>
      <c r="F2302" s="15">
        <v>45622</v>
      </c>
      <c r="G2302" s="28">
        <v>96.716539999999995</v>
      </c>
      <c r="H2302" s="15">
        <v>45806</v>
      </c>
      <c r="I2302">
        <v>20.212</v>
      </c>
      <c r="J2302">
        <v>25000</v>
      </c>
      <c r="K2302" s="28">
        <v>6.7152000000000003</v>
      </c>
    </row>
    <row r="2303" spans="1:12" x14ac:dyDescent="0.2">
      <c r="A2303" s="28" t="s">
        <v>8</v>
      </c>
      <c r="B2303" s="2" t="s">
        <v>29</v>
      </c>
      <c r="C2303" s="30">
        <v>1</v>
      </c>
      <c r="D2303" s="28">
        <f>YEAR(TableauFlitrage[[#This Row],[Date_d_adjudication]])</f>
        <v>2024</v>
      </c>
      <c r="E2303" s="28">
        <f t="shared" si="39"/>
        <v>11</v>
      </c>
      <c r="F2303" s="15">
        <v>45622</v>
      </c>
      <c r="G2303" s="28">
        <v>93.058333000000005</v>
      </c>
      <c r="H2303" s="15">
        <v>45981</v>
      </c>
      <c r="I2303">
        <v>65.786699999999996</v>
      </c>
      <c r="J2303">
        <v>15000</v>
      </c>
      <c r="K2303" s="28">
        <v>7.5221999999999998</v>
      </c>
    </row>
    <row r="2304" spans="1:12" x14ac:dyDescent="0.2">
      <c r="A2304" s="28" t="s">
        <v>10</v>
      </c>
      <c r="B2304" s="2" t="s">
        <v>29</v>
      </c>
      <c r="C2304" s="30">
        <v>1</v>
      </c>
      <c r="D2304" s="28">
        <f>YEAR(TableauFlitrage[[#This Row],[Date_d_adjudication]])</f>
        <v>2024</v>
      </c>
      <c r="E2304" s="28">
        <f t="shared" si="39"/>
        <v>11</v>
      </c>
      <c r="F2304" s="15">
        <v>45622</v>
      </c>
      <c r="G2304" s="28">
        <v>93.262440999999995</v>
      </c>
      <c r="H2304" s="15">
        <v>45988</v>
      </c>
      <c r="I2304">
        <v>116.7</v>
      </c>
      <c r="J2304">
        <v>10000</v>
      </c>
      <c r="K2304" s="28">
        <v>7.1448999999999998</v>
      </c>
    </row>
    <row r="2305" spans="1:12" x14ac:dyDescent="0.2">
      <c r="A2305" s="28" t="s">
        <v>9</v>
      </c>
      <c r="B2305" s="2" t="s">
        <v>29</v>
      </c>
      <c r="C2305" s="30">
        <v>0.5</v>
      </c>
      <c r="D2305" s="28">
        <f>YEAR(TableauFlitrage[[#This Row],[Date_d_adjudication]])</f>
        <v>2024</v>
      </c>
      <c r="E2305" s="28">
        <f t="shared" si="39"/>
        <v>11</v>
      </c>
      <c r="F2305" s="15">
        <v>45623</v>
      </c>
      <c r="G2305" s="28">
        <v>96.678218999999999</v>
      </c>
      <c r="H2305" s="15">
        <v>45807</v>
      </c>
      <c r="I2305">
        <v>88.785700000000006</v>
      </c>
      <c r="J2305">
        <v>14000</v>
      </c>
      <c r="K2305" s="28">
        <v>6.7962999999999996</v>
      </c>
    </row>
    <row r="2306" spans="1:12" x14ac:dyDescent="0.2">
      <c r="A2306" s="28" t="s">
        <v>9</v>
      </c>
      <c r="B2306" t="s">
        <v>30</v>
      </c>
      <c r="C2306" s="30" t="s">
        <v>55</v>
      </c>
      <c r="D2306" s="28">
        <f>YEAR(TableauFlitrage[[#This Row],[Date_d_adjudication]])</f>
        <v>2024</v>
      </c>
      <c r="E2306" s="28">
        <f t="shared" si="39"/>
        <v>11</v>
      </c>
      <c r="F2306" s="15">
        <v>45623</v>
      </c>
      <c r="G2306" s="28">
        <v>92.316599999999994</v>
      </c>
      <c r="H2306" s="15">
        <v>46604</v>
      </c>
      <c r="I2306">
        <v>75.69</v>
      </c>
      <c r="J2306">
        <v>10000</v>
      </c>
      <c r="K2306" s="28">
        <v>6.25</v>
      </c>
      <c r="L2306">
        <v>9.24</v>
      </c>
    </row>
    <row r="2307" spans="1:12" x14ac:dyDescent="0.2">
      <c r="A2307" s="28" t="s">
        <v>9</v>
      </c>
      <c r="B2307" t="s">
        <v>30</v>
      </c>
      <c r="C2307" s="30" t="s">
        <v>55</v>
      </c>
      <c r="D2307" s="28">
        <f>YEAR(TableauFlitrage[[#This Row],[Date_d_adjudication]])</f>
        <v>2024</v>
      </c>
      <c r="E2307" s="28">
        <f t="shared" si="39"/>
        <v>11</v>
      </c>
      <c r="F2307" s="15">
        <v>45623</v>
      </c>
      <c r="G2307" s="28">
        <v>95.079499999999996</v>
      </c>
      <c r="H2307" s="15">
        <v>46800</v>
      </c>
      <c r="I2307">
        <v>92.872500000000002</v>
      </c>
      <c r="J2307">
        <v>10000</v>
      </c>
      <c r="K2307" s="28">
        <v>6.5</v>
      </c>
      <c r="L2307">
        <v>8.39</v>
      </c>
    </row>
    <row r="2308" spans="1:12" x14ac:dyDescent="0.2">
      <c r="A2308" s="28" t="s">
        <v>9</v>
      </c>
      <c r="B2308" t="s">
        <v>30</v>
      </c>
      <c r="C2308" s="30" t="s">
        <v>54</v>
      </c>
      <c r="D2308" s="28">
        <f>YEAR(TableauFlitrage[[#This Row],[Date_d_adjudication]])</f>
        <v>2024</v>
      </c>
      <c r="E2308" s="28">
        <f t="shared" si="39"/>
        <v>11</v>
      </c>
      <c r="F2308" s="15">
        <v>45623</v>
      </c>
      <c r="G2308" s="28">
        <v>91.298400000000001</v>
      </c>
      <c r="H2308" s="15">
        <v>46671</v>
      </c>
      <c r="I2308">
        <v>162.12100000000001</v>
      </c>
      <c r="J2308">
        <v>12500</v>
      </c>
      <c r="K2308" s="28">
        <v>5.75</v>
      </c>
      <c r="L2308">
        <v>9.1300000000000008</v>
      </c>
    </row>
    <row r="2309" spans="1:12" x14ac:dyDescent="0.2">
      <c r="A2309" s="28" t="s">
        <v>11</v>
      </c>
      <c r="B2309" t="s">
        <v>30</v>
      </c>
      <c r="C2309" s="30" t="s">
        <v>54</v>
      </c>
      <c r="D2309" s="28">
        <f>YEAR(TableauFlitrage[[#This Row],[Date_d_adjudication]])</f>
        <v>2024</v>
      </c>
      <c r="E2309" s="28">
        <f t="shared" si="39"/>
        <v>11</v>
      </c>
      <c r="F2309" s="15">
        <v>45623</v>
      </c>
      <c r="G2309" s="28">
        <v>90.182500000000005</v>
      </c>
      <c r="H2309" s="15">
        <v>46720</v>
      </c>
      <c r="I2309">
        <v>90.276600000000002</v>
      </c>
      <c r="J2309">
        <v>15000</v>
      </c>
      <c r="K2309" s="28">
        <v>6.5</v>
      </c>
      <c r="L2309">
        <v>10.39</v>
      </c>
    </row>
    <row r="2310" spans="1:12" x14ac:dyDescent="0.2">
      <c r="A2310" s="28" t="s">
        <v>7</v>
      </c>
      <c r="B2310" s="2" t="s">
        <v>29</v>
      </c>
      <c r="C2310" s="30">
        <v>0.5</v>
      </c>
      <c r="D2310" s="28">
        <f>YEAR(TableauFlitrage[[#This Row],[Date_d_adjudication]])</f>
        <v>2024</v>
      </c>
      <c r="E2310" s="28">
        <f t="shared" si="39"/>
        <v>12</v>
      </c>
      <c r="F2310" s="15">
        <v>45628</v>
      </c>
      <c r="G2310" s="28">
        <v>96.513167999999993</v>
      </c>
      <c r="H2310" s="15">
        <v>45812</v>
      </c>
      <c r="I2310">
        <v>75.75</v>
      </c>
      <c r="J2310">
        <v>20000</v>
      </c>
      <c r="K2310" s="28">
        <v>7.1462000000000003</v>
      </c>
    </row>
    <row r="2311" spans="1:12" x14ac:dyDescent="0.2">
      <c r="A2311" s="28" t="s">
        <v>7</v>
      </c>
      <c r="B2311" t="s">
        <v>30</v>
      </c>
      <c r="C2311" s="30" t="s">
        <v>55</v>
      </c>
      <c r="D2311" s="28">
        <f>YEAR(TableauFlitrage[[#This Row],[Date_d_adjudication]])</f>
        <v>2024</v>
      </c>
      <c r="E2311" s="28">
        <f t="shared" si="39"/>
        <v>12</v>
      </c>
      <c r="F2311" s="15">
        <v>45628</v>
      </c>
      <c r="G2311" s="28">
        <v>95.685199999999995</v>
      </c>
      <c r="H2311" s="15">
        <v>47449</v>
      </c>
      <c r="I2311">
        <v>107.1157</v>
      </c>
      <c r="J2311">
        <v>20000</v>
      </c>
      <c r="K2311" s="28">
        <v>6.7</v>
      </c>
      <c r="L2311">
        <v>7.76</v>
      </c>
    </row>
    <row r="2312" spans="1:12" x14ac:dyDescent="0.2">
      <c r="A2312" s="28" t="s">
        <v>9</v>
      </c>
      <c r="B2312" s="2" t="s">
        <v>29</v>
      </c>
      <c r="C2312" s="30">
        <v>0.5</v>
      </c>
      <c r="D2312" s="28">
        <f>YEAR(TableauFlitrage[[#This Row],[Date_d_adjudication]])</f>
        <v>2024</v>
      </c>
      <c r="E2312" s="28">
        <f t="shared" si="39"/>
        <v>12</v>
      </c>
      <c r="F2312" s="15">
        <v>45630</v>
      </c>
      <c r="G2312" s="28">
        <v>96.669916999999998</v>
      </c>
      <c r="H2312" s="15">
        <v>45814</v>
      </c>
      <c r="I2312">
        <v>23.4421</v>
      </c>
      <c r="J2312">
        <v>9500</v>
      </c>
      <c r="K2312" s="28">
        <v>6.8139000000000003</v>
      </c>
    </row>
    <row r="2313" spans="1:12" x14ac:dyDescent="0.2">
      <c r="A2313" s="28" t="s">
        <v>9</v>
      </c>
      <c r="B2313" t="s">
        <v>30</v>
      </c>
      <c r="C2313" s="30" t="s">
        <v>55</v>
      </c>
      <c r="D2313" s="28">
        <f>YEAR(TableauFlitrage[[#This Row],[Date_d_adjudication]])</f>
        <v>2024</v>
      </c>
      <c r="E2313" s="28">
        <f t="shared" si="39"/>
        <v>12</v>
      </c>
      <c r="F2313" s="15">
        <v>45630</v>
      </c>
      <c r="G2313" s="28">
        <v>93.081100000000006</v>
      </c>
      <c r="H2313" s="15">
        <v>46247</v>
      </c>
      <c r="I2313">
        <v>85.77</v>
      </c>
      <c r="J2313">
        <v>10000</v>
      </c>
      <c r="K2313" s="28">
        <v>6.25</v>
      </c>
      <c r="L2313">
        <v>10.16</v>
      </c>
    </row>
    <row r="2314" spans="1:12" x14ac:dyDescent="0.2">
      <c r="A2314" s="28" t="s">
        <v>9</v>
      </c>
      <c r="B2314" t="s">
        <v>30</v>
      </c>
      <c r="C2314" s="30" t="s">
        <v>54</v>
      </c>
      <c r="D2314" s="28">
        <f>YEAR(TableauFlitrage[[#This Row],[Date_d_adjudication]])</f>
        <v>2024</v>
      </c>
      <c r="E2314" s="28">
        <f t="shared" si="39"/>
        <v>12</v>
      </c>
      <c r="F2314" s="15">
        <v>45630</v>
      </c>
      <c r="G2314" s="28">
        <v>96.0227</v>
      </c>
      <c r="H2314" s="15">
        <v>46427</v>
      </c>
      <c r="I2314">
        <v>26.828900000000001</v>
      </c>
      <c r="J2314">
        <v>15000</v>
      </c>
      <c r="K2314" s="28">
        <v>5.5</v>
      </c>
      <c r="L2314">
        <v>7.68</v>
      </c>
    </row>
    <row r="2315" spans="1:12" x14ac:dyDescent="0.2">
      <c r="A2315" s="28" t="s">
        <v>11</v>
      </c>
      <c r="B2315" t="s">
        <v>30</v>
      </c>
      <c r="C2315" s="30" t="s">
        <v>54</v>
      </c>
      <c r="D2315" s="28">
        <f>YEAR(TableauFlitrage[[#This Row],[Date_d_adjudication]])</f>
        <v>2024</v>
      </c>
      <c r="E2315" s="28">
        <f t="shared" si="39"/>
        <v>12</v>
      </c>
      <c r="F2315" s="15">
        <v>45630</v>
      </c>
      <c r="G2315" s="28">
        <v>90</v>
      </c>
      <c r="H2315" s="15">
        <v>46727</v>
      </c>
      <c r="I2315">
        <v>34.279699999999998</v>
      </c>
      <c r="J2315">
        <v>15000</v>
      </c>
      <c r="K2315" s="28">
        <v>6.5</v>
      </c>
      <c r="L2315">
        <v>10.47</v>
      </c>
    </row>
    <row r="2316" spans="1:12" x14ac:dyDescent="0.2">
      <c r="A2316" s="28" t="s">
        <v>19</v>
      </c>
      <c r="B2316" s="2" t="s">
        <v>29</v>
      </c>
      <c r="C2316" s="30">
        <v>1</v>
      </c>
      <c r="D2316" s="28">
        <f>YEAR(TableauFlitrage[[#This Row],[Date_d_adjudication]])</f>
        <v>2024</v>
      </c>
      <c r="E2316" s="28">
        <f t="shared" si="39"/>
        <v>12</v>
      </c>
      <c r="F2316" s="15">
        <v>45635</v>
      </c>
      <c r="G2316" s="28">
        <v>98.133332999999993</v>
      </c>
      <c r="H2316" s="15">
        <v>45721</v>
      </c>
      <c r="I2316">
        <v>93.333299999999994</v>
      </c>
      <c r="J2316">
        <v>3000</v>
      </c>
      <c r="K2316" s="28">
        <v>8.1522000000000006</v>
      </c>
    </row>
    <row r="2317" spans="1:12" x14ac:dyDescent="0.2">
      <c r="A2317" s="28" t="s">
        <v>7</v>
      </c>
      <c r="B2317" s="2" t="s">
        <v>29</v>
      </c>
      <c r="C2317" s="30">
        <v>0.25</v>
      </c>
      <c r="D2317" s="28">
        <f>YEAR(TableauFlitrage[[#This Row],[Date_d_adjudication]])</f>
        <v>2024</v>
      </c>
      <c r="E2317" s="28">
        <f t="shared" si="39"/>
        <v>12</v>
      </c>
      <c r="F2317" s="15">
        <v>45635</v>
      </c>
      <c r="G2317" s="28">
        <v>98.407499999999999</v>
      </c>
      <c r="H2317" s="15">
        <v>45728</v>
      </c>
      <c r="I2317">
        <v>99.794399999999996</v>
      </c>
      <c r="J2317">
        <v>35500</v>
      </c>
      <c r="K2317" s="28">
        <v>6.4020000000000001</v>
      </c>
    </row>
    <row r="2318" spans="1:12" x14ac:dyDescent="0.2">
      <c r="A2318" s="28" t="s">
        <v>7</v>
      </c>
      <c r="B2318" s="2" t="s">
        <v>29</v>
      </c>
      <c r="C2318" s="30">
        <v>0.5</v>
      </c>
      <c r="D2318" s="28">
        <f>YEAR(TableauFlitrage[[#This Row],[Date_d_adjudication]])</f>
        <v>2024</v>
      </c>
      <c r="E2318" s="28">
        <f t="shared" si="39"/>
        <v>12</v>
      </c>
      <c r="F2318" s="15">
        <v>45635</v>
      </c>
      <c r="G2318" s="28">
        <v>96.713888999999995</v>
      </c>
      <c r="H2318" s="15">
        <v>45819</v>
      </c>
      <c r="I2318">
        <v>64.978800000000007</v>
      </c>
      <c r="J2318">
        <v>89500</v>
      </c>
      <c r="K2318" s="28">
        <v>6.7209000000000003</v>
      </c>
    </row>
    <row r="2319" spans="1:12" x14ac:dyDescent="0.2">
      <c r="A2319" s="28" t="s">
        <v>7</v>
      </c>
      <c r="B2319" s="2" t="s">
        <v>29</v>
      </c>
      <c r="C2319" s="30">
        <v>1</v>
      </c>
      <c r="D2319" s="28">
        <f>YEAR(TableauFlitrage[[#This Row],[Date_d_adjudication]])</f>
        <v>2024</v>
      </c>
      <c r="E2319" s="28">
        <f t="shared" si="39"/>
        <v>12</v>
      </c>
      <c r="F2319" s="15">
        <v>45635</v>
      </c>
      <c r="G2319" s="28">
        <v>93.225555999999997</v>
      </c>
      <c r="H2319" s="15">
        <v>46001</v>
      </c>
      <c r="I2319">
        <v>99.676000000000002</v>
      </c>
      <c r="J2319">
        <v>25000</v>
      </c>
      <c r="K2319" s="28">
        <v>7.1868999999999996</v>
      </c>
    </row>
    <row r="2320" spans="1:12" x14ac:dyDescent="0.2">
      <c r="A2320" s="28" t="s">
        <v>14</v>
      </c>
      <c r="B2320" t="s">
        <v>30</v>
      </c>
      <c r="C2320" s="30" t="s">
        <v>53</v>
      </c>
      <c r="D2320" s="28">
        <f>YEAR(TableauFlitrage[[#This Row],[Date_d_adjudication]])</f>
        <v>2024</v>
      </c>
      <c r="E2320" s="28">
        <f t="shared" si="39"/>
        <v>12</v>
      </c>
      <c r="F2320" s="15">
        <v>45635</v>
      </c>
      <c r="G2320" s="28">
        <v>92</v>
      </c>
      <c r="H2320" s="15">
        <v>46367</v>
      </c>
      <c r="I2320">
        <v>100</v>
      </c>
      <c r="J2320">
        <v>12500</v>
      </c>
      <c r="K2320" s="28">
        <v>6.25</v>
      </c>
      <c r="L2320">
        <v>10.8</v>
      </c>
    </row>
    <row r="2321" spans="1:12" x14ac:dyDescent="0.2">
      <c r="A2321" s="28" t="s">
        <v>14</v>
      </c>
      <c r="B2321" t="s">
        <v>30</v>
      </c>
      <c r="C2321" s="30" t="s">
        <v>55</v>
      </c>
      <c r="D2321" s="28">
        <f>YEAR(TableauFlitrage[[#This Row],[Date_d_adjudication]])</f>
        <v>2024</v>
      </c>
      <c r="E2321" s="28">
        <f t="shared" si="39"/>
        <v>12</v>
      </c>
      <c r="F2321" s="15">
        <v>45635</v>
      </c>
      <c r="G2321" s="28">
        <v>89.402699999999996</v>
      </c>
      <c r="H2321" s="15">
        <v>47442</v>
      </c>
      <c r="I2321">
        <v>100</v>
      </c>
      <c r="J2321">
        <v>7500</v>
      </c>
      <c r="K2321" s="28">
        <v>7</v>
      </c>
      <c r="L2321">
        <v>9.73</v>
      </c>
    </row>
    <row r="2322" spans="1:12" x14ac:dyDescent="0.2">
      <c r="A2322" s="28" t="s">
        <v>8</v>
      </c>
      <c r="B2322" s="2" t="s">
        <v>29</v>
      </c>
      <c r="C2322" s="30">
        <v>0.25</v>
      </c>
      <c r="D2322" s="28">
        <f>YEAR(TableauFlitrage[[#This Row],[Date_d_adjudication]])</f>
        <v>2024</v>
      </c>
      <c r="E2322" s="28">
        <f t="shared" si="39"/>
        <v>12</v>
      </c>
      <c r="F2322" s="15">
        <v>45636</v>
      </c>
      <c r="G2322" s="28">
        <v>98.359644000000003</v>
      </c>
      <c r="H2322" s="15">
        <v>45729</v>
      </c>
      <c r="I2322">
        <v>5.1999999999999998E-2</v>
      </c>
      <c r="J2322">
        <v>25000</v>
      </c>
      <c r="K2322" s="28">
        <v>6.6086</v>
      </c>
    </row>
    <row r="2323" spans="1:12" x14ac:dyDescent="0.2">
      <c r="A2323" s="28" t="s">
        <v>8</v>
      </c>
      <c r="B2323" s="2" t="s">
        <v>29</v>
      </c>
      <c r="C2323" s="30">
        <v>0.5</v>
      </c>
      <c r="D2323" s="28">
        <f>YEAR(TableauFlitrage[[#This Row],[Date_d_adjudication]])</f>
        <v>2024</v>
      </c>
      <c r="E2323" s="28">
        <f t="shared" si="39"/>
        <v>12</v>
      </c>
      <c r="F2323" s="15">
        <v>45636</v>
      </c>
      <c r="G2323" s="28">
        <v>96.728196999999994</v>
      </c>
      <c r="H2323" s="15">
        <v>45820</v>
      </c>
      <c r="I2323">
        <v>1.06</v>
      </c>
      <c r="J2323">
        <v>25000</v>
      </c>
      <c r="K2323" s="28">
        <v>6.6905999999999999</v>
      </c>
    </row>
    <row r="2324" spans="1:12" x14ac:dyDescent="0.2">
      <c r="A2324" s="28" t="s">
        <v>8</v>
      </c>
      <c r="B2324" s="2" t="s">
        <v>29</v>
      </c>
      <c r="C2324" s="30">
        <v>1</v>
      </c>
      <c r="D2324" s="28">
        <f>YEAR(TableauFlitrage[[#This Row],[Date_d_adjudication]])</f>
        <v>2024</v>
      </c>
      <c r="E2324" s="28">
        <f t="shared" si="39"/>
        <v>12</v>
      </c>
      <c r="F2324" s="15">
        <v>45636</v>
      </c>
      <c r="G2324" s="28">
        <v>95.376737000000006</v>
      </c>
      <c r="H2324" s="15">
        <v>45897</v>
      </c>
      <c r="I2324">
        <v>3.3719999999999999</v>
      </c>
      <c r="J2324">
        <v>25000</v>
      </c>
      <c r="K2324" s="28">
        <v>6.7377000000000002</v>
      </c>
    </row>
    <row r="2325" spans="1:12" x14ac:dyDescent="0.2">
      <c r="A2325" s="28" t="s">
        <v>8</v>
      </c>
      <c r="B2325" t="s">
        <v>30</v>
      </c>
      <c r="C2325" s="30" t="s">
        <v>53</v>
      </c>
      <c r="D2325" s="28">
        <f>YEAR(TableauFlitrage[[#This Row],[Date_d_adjudication]])</f>
        <v>2024</v>
      </c>
      <c r="E2325" s="28">
        <f t="shared" si="39"/>
        <v>12</v>
      </c>
      <c r="F2325" s="15">
        <v>45636</v>
      </c>
      <c r="G2325" s="28">
        <v>90.068100000000001</v>
      </c>
      <c r="H2325" s="15">
        <v>46368</v>
      </c>
      <c r="I2325">
        <v>14.4</v>
      </c>
      <c r="J2325">
        <v>25000</v>
      </c>
      <c r="K2325" s="28">
        <v>5.5</v>
      </c>
      <c r="L2325">
        <v>11.18</v>
      </c>
    </row>
    <row r="2326" spans="1:12" x14ac:dyDescent="0.2">
      <c r="A2326" s="28" t="s">
        <v>9</v>
      </c>
      <c r="B2326" s="2" t="s">
        <v>29</v>
      </c>
      <c r="C2326" s="30">
        <v>0.5</v>
      </c>
      <c r="D2326" s="28">
        <f>YEAR(TableauFlitrage[[#This Row],[Date_d_adjudication]])</f>
        <v>2024</v>
      </c>
      <c r="E2326" s="28">
        <f t="shared" ref="E2326:E2375" si="40">MONTH(F2326)</f>
        <v>12</v>
      </c>
      <c r="F2326" s="15">
        <v>45637</v>
      </c>
      <c r="G2326" s="28">
        <v>96.869600000000005</v>
      </c>
      <c r="H2326" s="15">
        <v>45821</v>
      </c>
      <c r="I2326">
        <v>28.5778</v>
      </c>
      <c r="J2326">
        <v>9000</v>
      </c>
      <c r="K2326" s="28">
        <v>6.3921000000000001</v>
      </c>
    </row>
    <row r="2327" spans="1:12" x14ac:dyDescent="0.2">
      <c r="A2327" s="28" t="s">
        <v>11</v>
      </c>
      <c r="B2327" t="s">
        <v>30</v>
      </c>
      <c r="C2327" s="30" t="s">
        <v>54</v>
      </c>
      <c r="D2327" s="28">
        <f>YEAR(TableauFlitrage[[#This Row],[Date_d_adjudication]])</f>
        <v>2024</v>
      </c>
      <c r="E2327" s="28">
        <f t="shared" si="40"/>
        <v>12</v>
      </c>
      <c r="F2327" s="15">
        <v>45637</v>
      </c>
      <c r="G2327" s="28">
        <v>97.306299999999993</v>
      </c>
      <c r="H2327" s="15">
        <v>46734</v>
      </c>
      <c r="I2327">
        <v>65.388300000000001</v>
      </c>
      <c r="J2327">
        <v>20000</v>
      </c>
      <c r="K2327" s="28">
        <v>6.5</v>
      </c>
      <c r="L2327">
        <v>7.52</v>
      </c>
    </row>
    <row r="2328" spans="1:12" x14ac:dyDescent="0.2">
      <c r="A2328" s="28" t="s">
        <v>7</v>
      </c>
      <c r="B2328" s="2" t="s">
        <v>29</v>
      </c>
      <c r="C2328" s="30">
        <v>0.5</v>
      </c>
      <c r="D2328" s="28">
        <f>YEAR(TableauFlitrage[[#This Row],[Date_d_adjudication]])</f>
        <v>2024</v>
      </c>
      <c r="E2328" s="28">
        <f t="shared" si="40"/>
        <v>12</v>
      </c>
      <c r="F2328" s="15">
        <v>45642</v>
      </c>
      <c r="G2328" s="28">
        <v>96.840277999999998</v>
      </c>
      <c r="H2328" s="15">
        <v>45819</v>
      </c>
      <c r="I2328">
        <v>66.916700000000006</v>
      </c>
      <c r="J2328">
        <v>30000</v>
      </c>
      <c r="K2328" s="28">
        <v>6.7121000000000004</v>
      </c>
    </row>
    <row r="2329" spans="1:12" x14ac:dyDescent="0.2">
      <c r="A2329" s="28" t="s">
        <v>7</v>
      </c>
      <c r="B2329" s="2" t="s">
        <v>29</v>
      </c>
      <c r="C2329" s="30">
        <v>0.5</v>
      </c>
      <c r="D2329" s="28">
        <f>YEAR(TableauFlitrage[[#This Row],[Date_d_adjudication]])</f>
        <v>2024</v>
      </c>
      <c r="E2329" s="28">
        <f t="shared" si="40"/>
        <v>12</v>
      </c>
      <c r="F2329" s="15">
        <v>45642</v>
      </c>
      <c r="G2329" s="28">
        <v>96.547275999999997</v>
      </c>
      <c r="H2329" s="15">
        <v>45826</v>
      </c>
      <c r="I2329">
        <v>73.23</v>
      </c>
      <c r="J2329">
        <v>20000</v>
      </c>
      <c r="K2329" s="28">
        <v>7.0738000000000003</v>
      </c>
    </row>
    <row r="2330" spans="1:12" x14ac:dyDescent="0.2">
      <c r="A2330" s="28" t="s">
        <v>14</v>
      </c>
      <c r="B2330" t="s">
        <v>30</v>
      </c>
      <c r="C2330" s="30" t="s">
        <v>53</v>
      </c>
      <c r="D2330" s="28">
        <f>YEAR(TableauFlitrage[[#This Row],[Date_d_adjudication]])</f>
        <v>2024</v>
      </c>
      <c r="E2330" s="28">
        <f t="shared" si="40"/>
        <v>12</v>
      </c>
      <c r="F2330" s="15">
        <v>45642</v>
      </c>
      <c r="G2330" s="28">
        <v>92.119900000000001</v>
      </c>
      <c r="H2330" s="15">
        <v>46367</v>
      </c>
      <c r="I2330">
        <v>80</v>
      </c>
      <c r="J2330">
        <v>5000</v>
      </c>
      <c r="K2330" s="28">
        <v>6.25</v>
      </c>
      <c r="L2330">
        <v>10.73</v>
      </c>
    </row>
    <row r="2331" spans="1:12" x14ac:dyDescent="0.2">
      <c r="A2331" s="28" t="s">
        <v>14</v>
      </c>
      <c r="B2331" t="s">
        <v>30</v>
      </c>
      <c r="C2331" s="30" t="s">
        <v>55</v>
      </c>
      <c r="D2331" s="28">
        <f>YEAR(TableauFlitrage[[#This Row],[Date_d_adjudication]])</f>
        <v>2024</v>
      </c>
      <c r="E2331" s="28">
        <f t="shared" si="40"/>
        <v>12</v>
      </c>
      <c r="F2331" s="15">
        <v>45642</v>
      </c>
      <c r="G2331" s="28">
        <v>89.537000000000006</v>
      </c>
      <c r="H2331" s="15">
        <v>47442</v>
      </c>
      <c r="I2331">
        <v>80</v>
      </c>
      <c r="J2331">
        <v>5000</v>
      </c>
      <c r="K2331" s="28">
        <v>7</v>
      </c>
      <c r="L2331">
        <v>9.69</v>
      </c>
    </row>
    <row r="2332" spans="1:12" x14ac:dyDescent="0.2">
      <c r="A2332" s="28" t="s">
        <v>8</v>
      </c>
      <c r="B2332" s="2" t="s">
        <v>29</v>
      </c>
      <c r="C2332" s="30">
        <v>0.25</v>
      </c>
      <c r="D2332" s="28">
        <f>YEAR(TableauFlitrage[[#This Row],[Date_d_adjudication]])</f>
        <v>2024</v>
      </c>
      <c r="E2332" s="28">
        <f t="shared" si="40"/>
        <v>12</v>
      </c>
      <c r="F2332" s="15">
        <v>45643</v>
      </c>
      <c r="G2332" s="28">
        <v>98.53</v>
      </c>
      <c r="H2332" s="15">
        <v>45729</v>
      </c>
      <c r="I2332">
        <v>67.333299999999994</v>
      </c>
      <c r="J2332">
        <v>15000</v>
      </c>
      <c r="K2332" s="28">
        <v>6.3940000000000001</v>
      </c>
    </row>
    <row r="2333" spans="1:12" x14ac:dyDescent="0.2">
      <c r="A2333" s="28" t="s">
        <v>10</v>
      </c>
      <c r="B2333" s="2" t="s">
        <v>29</v>
      </c>
      <c r="C2333" s="30">
        <v>1</v>
      </c>
      <c r="D2333" s="28">
        <f>YEAR(TableauFlitrage[[#This Row],[Date_d_adjudication]])</f>
        <v>2024</v>
      </c>
      <c r="E2333" s="28">
        <f t="shared" si="40"/>
        <v>12</v>
      </c>
      <c r="F2333" s="15">
        <v>45643</v>
      </c>
      <c r="G2333" s="28">
        <v>93.000394</v>
      </c>
      <c r="H2333" s="15">
        <v>46009</v>
      </c>
      <c r="I2333">
        <v>182.41</v>
      </c>
      <c r="J2333">
        <v>20000</v>
      </c>
      <c r="K2333" s="28">
        <v>7.4436999999999998</v>
      </c>
    </row>
    <row r="2334" spans="1:12" x14ac:dyDescent="0.2">
      <c r="A2334" s="28" t="s">
        <v>9</v>
      </c>
      <c r="B2334" s="2" t="s">
        <v>29</v>
      </c>
      <c r="C2334" s="30">
        <v>0.5</v>
      </c>
      <c r="D2334" s="28">
        <f>YEAR(TableauFlitrage[[#This Row],[Date_d_adjudication]])</f>
        <v>2024</v>
      </c>
      <c r="E2334" s="28">
        <f t="shared" si="40"/>
        <v>12</v>
      </c>
      <c r="F2334" s="15">
        <v>45644</v>
      </c>
      <c r="G2334" s="28">
        <v>99.406943999999996</v>
      </c>
      <c r="H2334" s="15">
        <v>45681</v>
      </c>
      <c r="I2334">
        <v>100</v>
      </c>
      <c r="J2334">
        <v>12500</v>
      </c>
      <c r="K2334" s="28">
        <v>6.1364000000000001</v>
      </c>
    </row>
    <row r="2335" spans="1:12" x14ac:dyDescent="0.2">
      <c r="A2335" s="28" t="s">
        <v>9</v>
      </c>
      <c r="B2335" s="2" t="s">
        <v>29</v>
      </c>
      <c r="C2335" s="30">
        <v>0.5</v>
      </c>
      <c r="D2335" s="28">
        <f>YEAR(TableauFlitrage[[#This Row],[Date_d_adjudication]])</f>
        <v>2024</v>
      </c>
      <c r="E2335" s="28">
        <f t="shared" si="40"/>
        <v>12</v>
      </c>
      <c r="F2335" s="15">
        <v>45644</v>
      </c>
      <c r="G2335" s="28">
        <v>99.288332999999994</v>
      </c>
      <c r="H2335" s="15">
        <v>45688</v>
      </c>
      <c r="I2335">
        <v>100</v>
      </c>
      <c r="J2335">
        <v>12500</v>
      </c>
      <c r="K2335" s="28">
        <v>6.1436999999999999</v>
      </c>
    </row>
    <row r="2336" spans="1:12" x14ac:dyDescent="0.2">
      <c r="A2336" s="28" t="s">
        <v>11</v>
      </c>
      <c r="B2336" s="2" t="s">
        <v>29</v>
      </c>
      <c r="C2336" s="30">
        <v>0.5</v>
      </c>
      <c r="D2336" s="28">
        <f>YEAR(TableauFlitrage[[#This Row],[Date_d_adjudication]])</f>
        <v>2024</v>
      </c>
      <c r="E2336" s="28">
        <f t="shared" si="40"/>
        <v>12</v>
      </c>
      <c r="F2336" s="15">
        <v>45644</v>
      </c>
      <c r="G2336" s="28">
        <v>96.587941999999998</v>
      </c>
      <c r="H2336" s="15">
        <v>45828</v>
      </c>
      <c r="I2336">
        <v>119.55</v>
      </c>
      <c r="J2336">
        <v>10000</v>
      </c>
      <c r="K2336" s="28">
        <v>6.9874999999999998</v>
      </c>
    </row>
    <row r="2337" spans="1:12" x14ac:dyDescent="0.2">
      <c r="A2337" s="28" t="s">
        <v>9</v>
      </c>
      <c r="B2337" t="s">
        <v>30</v>
      </c>
      <c r="C2337" s="30" t="s">
        <v>55</v>
      </c>
      <c r="D2337" s="28">
        <f>YEAR(TableauFlitrage[[#This Row],[Date_d_adjudication]])</f>
        <v>2024</v>
      </c>
      <c r="E2337" s="28">
        <f t="shared" si="40"/>
        <v>12</v>
      </c>
      <c r="F2337" s="15">
        <v>45644</v>
      </c>
      <c r="G2337" s="28">
        <v>96.061700000000002</v>
      </c>
      <c r="H2337" s="15">
        <v>46436</v>
      </c>
      <c r="I2337">
        <v>22.6</v>
      </c>
      <c r="J2337">
        <v>15000</v>
      </c>
      <c r="K2337" s="28">
        <v>6.25</v>
      </c>
      <c r="L2337">
        <v>8.43</v>
      </c>
    </row>
    <row r="2338" spans="1:12" x14ac:dyDescent="0.2">
      <c r="A2338" s="28" t="s">
        <v>9</v>
      </c>
      <c r="B2338" t="s">
        <v>30</v>
      </c>
      <c r="C2338" s="30" t="s">
        <v>55</v>
      </c>
      <c r="D2338" s="28">
        <f>YEAR(TableauFlitrage[[#This Row],[Date_d_adjudication]])</f>
        <v>2024</v>
      </c>
      <c r="E2338" s="28">
        <f t="shared" si="40"/>
        <v>12</v>
      </c>
      <c r="F2338" s="15">
        <v>45644</v>
      </c>
      <c r="G2338" s="28">
        <v>95.863</v>
      </c>
      <c r="H2338" s="15">
        <v>46457</v>
      </c>
      <c r="I2338">
        <v>58.64</v>
      </c>
      <c r="J2338">
        <v>12500</v>
      </c>
      <c r="K2338" s="28">
        <v>6.25</v>
      </c>
      <c r="L2338">
        <v>8.5399999999999991</v>
      </c>
    </row>
    <row r="2339" spans="1:12" x14ac:dyDescent="0.2">
      <c r="A2339" s="28" t="s">
        <v>9</v>
      </c>
      <c r="B2339" t="s">
        <v>30</v>
      </c>
      <c r="C2339" s="30" t="s">
        <v>55</v>
      </c>
      <c r="D2339" s="28">
        <f>YEAR(TableauFlitrage[[#This Row],[Date_d_adjudication]])</f>
        <v>2024</v>
      </c>
      <c r="E2339" s="28">
        <f t="shared" si="40"/>
        <v>12</v>
      </c>
      <c r="F2339" s="15">
        <v>45644</v>
      </c>
      <c r="G2339" s="28">
        <v>91.5732</v>
      </c>
      <c r="H2339" s="15">
        <v>46716</v>
      </c>
      <c r="I2339">
        <v>8.41</v>
      </c>
      <c r="J2339">
        <v>15000</v>
      </c>
      <c r="K2339" s="28">
        <v>6.5</v>
      </c>
      <c r="L2339">
        <v>9.81</v>
      </c>
    </row>
    <row r="2340" spans="1:12" x14ac:dyDescent="0.2">
      <c r="A2340" s="28" t="s">
        <v>9</v>
      </c>
      <c r="B2340" t="s">
        <v>30</v>
      </c>
      <c r="C2340" s="30" t="s">
        <v>56</v>
      </c>
      <c r="D2340" s="28">
        <f>YEAR(TableauFlitrage[[#This Row],[Date_d_adjudication]])</f>
        <v>2024</v>
      </c>
      <c r="E2340" s="28">
        <f t="shared" si="40"/>
        <v>12</v>
      </c>
      <c r="F2340" s="15">
        <v>45644</v>
      </c>
      <c r="G2340" s="28">
        <v>94.579800000000006</v>
      </c>
      <c r="H2340" s="15">
        <v>46484</v>
      </c>
      <c r="I2340">
        <v>86.9</v>
      </c>
      <c r="J2340">
        <v>7500</v>
      </c>
      <c r="K2340" s="28">
        <v>6.5</v>
      </c>
      <c r="L2340">
        <v>9.5399999999999991</v>
      </c>
    </row>
    <row r="2341" spans="1:12" x14ac:dyDescent="0.2">
      <c r="A2341" s="28" t="s">
        <v>7</v>
      </c>
      <c r="B2341" s="2" t="s">
        <v>29</v>
      </c>
      <c r="C2341" s="30">
        <v>1</v>
      </c>
      <c r="D2341" s="28">
        <f>YEAR(TableauFlitrage[[#This Row],[Date_d_adjudication]])</f>
        <v>2024</v>
      </c>
      <c r="E2341" s="28">
        <f t="shared" si="40"/>
        <v>12</v>
      </c>
      <c r="F2341" s="15">
        <v>45649</v>
      </c>
      <c r="G2341" s="28">
        <v>93.613147999999995</v>
      </c>
      <c r="H2341" s="15">
        <v>46015</v>
      </c>
      <c r="I2341">
        <v>16.844999999999999</v>
      </c>
      <c r="J2341">
        <v>20000</v>
      </c>
      <c r="K2341" s="28">
        <v>6.7476000000000003</v>
      </c>
    </row>
    <row r="2342" spans="1:12" x14ac:dyDescent="0.2">
      <c r="A2342" s="28" t="s">
        <v>9</v>
      </c>
      <c r="B2342" s="2" t="s">
        <v>29</v>
      </c>
      <c r="C2342" s="30">
        <v>0.5</v>
      </c>
      <c r="D2342" s="28">
        <f>YEAR(TableauFlitrage[[#This Row],[Date_d_adjudication]])</f>
        <v>2024</v>
      </c>
      <c r="E2342" s="28">
        <f t="shared" si="40"/>
        <v>12</v>
      </c>
      <c r="F2342" s="15">
        <v>45651</v>
      </c>
      <c r="G2342" s="28">
        <v>96.656552000000005</v>
      </c>
      <c r="H2342" s="15">
        <v>45835</v>
      </c>
      <c r="I2342">
        <v>88.15</v>
      </c>
      <c r="J2342">
        <v>10000</v>
      </c>
      <c r="K2342" s="28">
        <v>6.8422000000000001</v>
      </c>
    </row>
    <row r="2343" spans="1:12" x14ac:dyDescent="0.2">
      <c r="A2343" s="28" t="s">
        <v>11</v>
      </c>
      <c r="B2343" s="2" t="s">
        <v>29</v>
      </c>
      <c r="C2343" s="30">
        <v>1</v>
      </c>
      <c r="D2343" s="28">
        <f>YEAR(TableauFlitrage[[#This Row],[Date_d_adjudication]])</f>
        <v>2024</v>
      </c>
      <c r="E2343" s="28">
        <f t="shared" si="40"/>
        <v>12</v>
      </c>
      <c r="F2343" s="15">
        <v>45651</v>
      </c>
      <c r="G2343" s="28">
        <v>93.427778000000004</v>
      </c>
      <c r="H2343" s="15">
        <v>46017</v>
      </c>
      <c r="I2343">
        <v>100</v>
      </c>
      <c r="J2343">
        <v>10000</v>
      </c>
      <c r="K2343" s="28">
        <v>6.9572000000000003</v>
      </c>
    </row>
    <row r="2344" spans="1:12" x14ac:dyDescent="0.2">
      <c r="A2344" s="28" t="s">
        <v>9</v>
      </c>
      <c r="B2344" t="s">
        <v>30</v>
      </c>
      <c r="C2344" s="30" t="s">
        <v>55</v>
      </c>
      <c r="D2344" s="28">
        <f>YEAR(TableauFlitrage[[#This Row],[Date_d_adjudication]])</f>
        <v>2024</v>
      </c>
      <c r="E2344" s="28">
        <f t="shared" si="40"/>
        <v>12</v>
      </c>
      <c r="F2344" s="15">
        <v>45651</v>
      </c>
      <c r="G2344" s="28">
        <v>93.579499999999996</v>
      </c>
      <c r="H2344" s="15">
        <v>46913</v>
      </c>
      <c r="I2344">
        <v>27.12</v>
      </c>
      <c r="J2344">
        <v>20000</v>
      </c>
      <c r="K2344" s="28">
        <v>6.5</v>
      </c>
      <c r="L2344">
        <v>8.99</v>
      </c>
    </row>
    <row r="2345" spans="1:12" x14ac:dyDescent="0.2">
      <c r="A2345" s="28" t="s">
        <v>9</v>
      </c>
      <c r="B2345" t="s">
        <v>30</v>
      </c>
      <c r="C2345" s="30" t="s">
        <v>58</v>
      </c>
      <c r="D2345" s="28">
        <f>YEAR(TableauFlitrage[[#This Row],[Date_d_adjudication]])</f>
        <v>2024</v>
      </c>
      <c r="E2345" s="28">
        <f t="shared" si="40"/>
        <v>12</v>
      </c>
      <c r="F2345" s="15">
        <v>45651</v>
      </c>
      <c r="G2345" s="28">
        <v>95.686300000000003</v>
      </c>
      <c r="H2345" s="15">
        <v>47559</v>
      </c>
      <c r="I2345">
        <v>10.051</v>
      </c>
      <c r="J2345">
        <v>10000</v>
      </c>
      <c r="K2345" s="28">
        <v>7.25</v>
      </c>
      <c r="L2345">
        <v>8.32</v>
      </c>
    </row>
    <row r="2346" spans="1:12" x14ac:dyDescent="0.2">
      <c r="A2346" s="28" t="s">
        <v>11</v>
      </c>
      <c r="B2346" t="s">
        <v>30</v>
      </c>
      <c r="C2346" s="30" t="s">
        <v>53</v>
      </c>
      <c r="D2346" s="28">
        <f>YEAR(TableauFlitrage[[#This Row],[Date_d_adjudication]])</f>
        <v>2024</v>
      </c>
      <c r="E2346" s="28">
        <f t="shared" si="40"/>
        <v>12</v>
      </c>
      <c r="F2346" s="15">
        <v>45651</v>
      </c>
      <c r="G2346" s="28">
        <v>91.875</v>
      </c>
      <c r="H2346" s="15">
        <v>46383</v>
      </c>
      <c r="I2346">
        <v>100</v>
      </c>
      <c r="J2346">
        <v>10000</v>
      </c>
      <c r="K2346" s="28">
        <v>6.5</v>
      </c>
      <c r="L2346">
        <v>11.14</v>
      </c>
    </row>
    <row r="2347" spans="1:12" x14ac:dyDescent="0.2">
      <c r="A2347" s="28" t="s">
        <v>11</v>
      </c>
      <c r="B2347" t="s">
        <v>30</v>
      </c>
      <c r="C2347" s="30" t="s">
        <v>55</v>
      </c>
      <c r="D2347" s="28">
        <f>YEAR(TableauFlitrage[[#This Row],[Date_d_adjudication]])</f>
        <v>2024</v>
      </c>
      <c r="E2347" s="28">
        <f t="shared" si="40"/>
        <v>12</v>
      </c>
      <c r="F2347" s="15">
        <v>45651</v>
      </c>
      <c r="G2347" s="28">
        <v>91.875</v>
      </c>
      <c r="H2347" s="15">
        <v>47479</v>
      </c>
      <c r="I2347">
        <v>100</v>
      </c>
      <c r="J2347">
        <v>10000</v>
      </c>
      <c r="K2347" s="28">
        <v>6.5</v>
      </c>
      <c r="L2347">
        <v>8.5299999999999994</v>
      </c>
    </row>
    <row r="2348" spans="1:12" x14ac:dyDescent="0.2">
      <c r="A2348" s="28" t="s">
        <v>11</v>
      </c>
      <c r="B2348" t="s">
        <v>30</v>
      </c>
      <c r="C2348" s="30" t="s">
        <v>54</v>
      </c>
      <c r="D2348" s="28">
        <f>YEAR(TableauFlitrage[[#This Row],[Date_d_adjudication]])</f>
        <v>2024</v>
      </c>
      <c r="E2348" s="28">
        <f t="shared" si="40"/>
        <v>12</v>
      </c>
      <c r="F2348" s="15">
        <v>45651</v>
      </c>
      <c r="G2348" s="28">
        <v>91.875</v>
      </c>
      <c r="H2348" s="15">
        <v>46748</v>
      </c>
      <c r="I2348">
        <v>100</v>
      </c>
      <c r="J2348">
        <v>10000</v>
      </c>
      <c r="K2348" s="28">
        <v>6.5</v>
      </c>
      <c r="L2348">
        <v>9.69</v>
      </c>
    </row>
    <row r="2349" spans="1:12" x14ac:dyDescent="0.2">
      <c r="A2349" s="28" t="s">
        <v>11</v>
      </c>
      <c r="B2349" t="s">
        <v>30</v>
      </c>
      <c r="C2349" s="30" t="s">
        <v>56</v>
      </c>
      <c r="D2349" s="28">
        <f>YEAR(TableauFlitrage[[#This Row],[Date_d_adjudication]])</f>
        <v>2024</v>
      </c>
      <c r="E2349" s="28">
        <f t="shared" si="40"/>
        <v>12</v>
      </c>
      <c r="F2349" s="15">
        <v>45651</v>
      </c>
      <c r="G2349" s="28">
        <v>91.875</v>
      </c>
      <c r="H2349" s="15">
        <v>47114</v>
      </c>
      <c r="I2349">
        <v>100</v>
      </c>
      <c r="J2349">
        <v>10000</v>
      </c>
      <c r="K2349" s="28">
        <v>6.5</v>
      </c>
      <c r="L2349">
        <v>8.9600000000000009</v>
      </c>
    </row>
    <row r="2350" spans="1:12" x14ac:dyDescent="0.2">
      <c r="A2350" s="28" t="s">
        <v>7</v>
      </c>
      <c r="B2350" s="2" t="s">
        <v>29</v>
      </c>
      <c r="C2350" s="30">
        <v>0.25</v>
      </c>
      <c r="D2350" s="28">
        <f>YEAR(TableauFlitrage[[#This Row],[Date_d_adjudication]])</f>
        <v>2024</v>
      </c>
      <c r="E2350" s="28">
        <f t="shared" si="40"/>
        <v>12</v>
      </c>
      <c r="F2350" s="15">
        <v>45656</v>
      </c>
      <c r="G2350" s="28">
        <v>98.441660999999996</v>
      </c>
      <c r="H2350" s="15">
        <v>45749</v>
      </c>
      <c r="I2350">
        <v>85.71</v>
      </c>
      <c r="J2350">
        <v>10000</v>
      </c>
      <c r="K2350" s="28">
        <v>6.2624000000000004</v>
      </c>
    </row>
    <row r="2351" spans="1:12" x14ac:dyDescent="0.2">
      <c r="A2351" s="28" t="s">
        <v>9</v>
      </c>
      <c r="B2351" s="2" t="s">
        <v>29</v>
      </c>
      <c r="C2351" s="30">
        <v>0.25</v>
      </c>
      <c r="D2351" s="28">
        <f>YEAR(TableauFlitrage[[#This Row],[Date_d_adjudication]])</f>
        <v>2025</v>
      </c>
      <c r="E2351" s="28">
        <f t="shared" si="40"/>
        <v>1</v>
      </c>
      <c r="F2351" s="15">
        <v>45658</v>
      </c>
      <c r="G2351" s="28">
        <v>98.357881000000006</v>
      </c>
      <c r="H2351" s="15">
        <v>45751</v>
      </c>
      <c r="I2351">
        <v>27</v>
      </c>
      <c r="J2351">
        <v>15000</v>
      </c>
      <c r="K2351" s="28">
        <v>6.6048</v>
      </c>
    </row>
    <row r="2352" spans="1:12" x14ac:dyDescent="0.2">
      <c r="A2352" s="28" t="s">
        <v>9</v>
      </c>
      <c r="B2352" t="s">
        <v>30</v>
      </c>
      <c r="C2352" s="30" t="s">
        <v>55</v>
      </c>
      <c r="D2352" s="28">
        <f>YEAR(TableauFlitrage[[#This Row],[Date_d_adjudication]])</f>
        <v>2025</v>
      </c>
      <c r="E2352" s="28">
        <f t="shared" si="40"/>
        <v>1</v>
      </c>
      <c r="F2352" s="15">
        <v>45658</v>
      </c>
      <c r="G2352" s="28">
        <v>95.472099999999998</v>
      </c>
      <c r="H2352" s="15">
        <v>46436</v>
      </c>
      <c r="I2352">
        <v>119.59</v>
      </c>
      <c r="J2352">
        <v>10000</v>
      </c>
      <c r="K2352" s="28">
        <v>6.25</v>
      </c>
      <c r="L2352">
        <v>8.77</v>
      </c>
    </row>
    <row r="2353" spans="1:12" x14ac:dyDescent="0.2">
      <c r="A2353" s="28" t="s">
        <v>11</v>
      </c>
      <c r="B2353" t="s">
        <v>30</v>
      </c>
      <c r="C2353" s="30" t="s">
        <v>54</v>
      </c>
      <c r="D2353" s="28">
        <f>YEAR(TableauFlitrage[[#This Row],[Date_d_adjudication]])</f>
        <v>2025</v>
      </c>
      <c r="E2353" s="28">
        <f t="shared" si="40"/>
        <v>1</v>
      </c>
      <c r="F2353" s="15">
        <v>45658</v>
      </c>
      <c r="G2353" s="28">
        <v>90</v>
      </c>
      <c r="H2353" s="15">
        <v>46755</v>
      </c>
      <c r="I2353">
        <v>33.092300000000002</v>
      </c>
      <c r="J2353">
        <v>30000</v>
      </c>
      <c r="K2353" s="28">
        <v>6.5</v>
      </c>
      <c r="L2353">
        <v>10.47</v>
      </c>
    </row>
    <row r="2354" spans="1:12" x14ac:dyDescent="0.2">
      <c r="A2354" s="28" t="s">
        <v>7</v>
      </c>
      <c r="B2354" s="2" t="s">
        <v>29</v>
      </c>
      <c r="C2354" s="30">
        <v>0.5</v>
      </c>
      <c r="D2354" s="28">
        <f>YEAR(TableauFlitrage[[#This Row],[Date_d_adjudication]])</f>
        <v>2025</v>
      </c>
      <c r="E2354" s="28">
        <f t="shared" si="40"/>
        <v>1</v>
      </c>
      <c r="F2354" s="15">
        <v>45663</v>
      </c>
      <c r="G2354" s="28">
        <v>96.740376999999995</v>
      </c>
      <c r="H2354" s="15">
        <v>45847</v>
      </c>
      <c r="I2354">
        <v>131.9333</v>
      </c>
      <c r="J2354">
        <v>15000</v>
      </c>
      <c r="K2354" s="28">
        <v>6.6649000000000003</v>
      </c>
    </row>
    <row r="2355" spans="1:12" x14ac:dyDescent="0.2">
      <c r="A2355" s="28" t="s">
        <v>8</v>
      </c>
      <c r="B2355" s="2" t="s">
        <v>29</v>
      </c>
      <c r="C2355" s="30">
        <v>0.5</v>
      </c>
      <c r="D2355" s="28">
        <f>YEAR(TableauFlitrage[[#This Row],[Date_d_adjudication]])</f>
        <v>2025</v>
      </c>
      <c r="E2355" s="28">
        <f t="shared" si="40"/>
        <v>1</v>
      </c>
      <c r="F2355" s="15">
        <v>45664</v>
      </c>
      <c r="G2355" s="28">
        <v>97.081134000000006</v>
      </c>
      <c r="H2355" s="15">
        <v>45820</v>
      </c>
      <c r="I2355">
        <v>19.5</v>
      </c>
      <c r="J2355">
        <v>25000</v>
      </c>
      <c r="K2355" s="28">
        <v>7.0285000000000002</v>
      </c>
    </row>
    <row r="2356" spans="1:12" x14ac:dyDescent="0.2">
      <c r="A2356" s="28" t="s">
        <v>8</v>
      </c>
      <c r="B2356" t="s">
        <v>30</v>
      </c>
      <c r="C2356" s="30" t="s">
        <v>53</v>
      </c>
      <c r="D2356" s="28">
        <f>YEAR(TableauFlitrage[[#This Row],[Date_d_adjudication]])</f>
        <v>2025</v>
      </c>
      <c r="E2356" s="28">
        <f t="shared" si="40"/>
        <v>1</v>
      </c>
      <c r="F2356" s="15">
        <v>45664</v>
      </c>
      <c r="G2356" s="28">
        <v>92</v>
      </c>
      <c r="H2356" s="15">
        <v>46396</v>
      </c>
      <c r="I2356">
        <v>21.455300000000001</v>
      </c>
      <c r="J2356">
        <v>15000</v>
      </c>
      <c r="K2356" s="28">
        <v>5.5</v>
      </c>
      <c r="L2356">
        <v>10.01</v>
      </c>
    </row>
    <row r="2357" spans="1:12" x14ac:dyDescent="0.2">
      <c r="A2357" s="28" t="s">
        <v>8</v>
      </c>
      <c r="B2357" t="s">
        <v>30</v>
      </c>
      <c r="C2357" s="30" t="s">
        <v>55</v>
      </c>
      <c r="D2357" s="28">
        <f>YEAR(TableauFlitrage[[#This Row],[Date_d_adjudication]])</f>
        <v>2025</v>
      </c>
      <c r="E2357" s="28">
        <f t="shared" si="40"/>
        <v>1</v>
      </c>
      <c r="F2357" s="15">
        <v>45664</v>
      </c>
      <c r="G2357" s="28">
        <v>86</v>
      </c>
      <c r="H2357" s="15">
        <v>47492</v>
      </c>
      <c r="I2357">
        <v>50</v>
      </c>
      <c r="J2357">
        <v>12000</v>
      </c>
      <c r="K2357" s="28">
        <v>5.9</v>
      </c>
      <c r="L2357">
        <v>9.48</v>
      </c>
    </row>
    <row r="2358" spans="1:12" x14ac:dyDescent="0.2">
      <c r="A2358" s="28" t="s">
        <v>9</v>
      </c>
      <c r="B2358" s="2" t="s">
        <v>29</v>
      </c>
      <c r="C2358" s="30">
        <v>0.5</v>
      </c>
      <c r="D2358" s="28">
        <f>YEAR(TableauFlitrage[[#This Row],[Date_d_adjudication]])</f>
        <v>2025</v>
      </c>
      <c r="E2358" s="28">
        <f t="shared" si="40"/>
        <v>1</v>
      </c>
      <c r="F2358" s="15">
        <v>45665</v>
      </c>
      <c r="G2358" s="28">
        <v>96.738746000000006</v>
      </c>
      <c r="H2358" s="15">
        <v>45849</v>
      </c>
      <c r="I2358">
        <v>25.97</v>
      </c>
      <c r="J2358">
        <v>10000</v>
      </c>
      <c r="K2358" s="28">
        <v>6.6683000000000003</v>
      </c>
    </row>
    <row r="2359" spans="1:12" x14ac:dyDescent="0.2">
      <c r="A2359" s="28" t="s">
        <v>9</v>
      </c>
      <c r="B2359" t="s">
        <v>30</v>
      </c>
      <c r="C2359" s="30" t="s">
        <v>55</v>
      </c>
      <c r="D2359" s="28">
        <f>YEAR(TableauFlitrage[[#This Row],[Date_d_adjudication]])</f>
        <v>2025</v>
      </c>
      <c r="E2359" s="28">
        <f t="shared" si="40"/>
        <v>1</v>
      </c>
      <c r="F2359" s="15">
        <v>45665</v>
      </c>
      <c r="G2359" s="28">
        <v>95.294200000000004</v>
      </c>
      <c r="H2359" s="15">
        <v>46457</v>
      </c>
      <c r="I2359">
        <v>60.252699999999997</v>
      </c>
      <c r="J2359">
        <v>15000</v>
      </c>
      <c r="K2359" s="28">
        <v>6.25</v>
      </c>
      <c r="L2359">
        <v>8.8699999999999992</v>
      </c>
    </row>
    <row r="2360" spans="1:12" x14ac:dyDescent="0.2">
      <c r="A2360" s="28" t="s">
        <v>7</v>
      </c>
      <c r="B2360" s="2" t="s">
        <v>29</v>
      </c>
      <c r="C2360" s="30">
        <v>0.25</v>
      </c>
      <c r="D2360" s="28">
        <f>YEAR(TableauFlitrage[[#This Row],[Date_d_adjudication]])</f>
        <v>2025</v>
      </c>
      <c r="E2360" s="28">
        <f t="shared" si="40"/>
        <v>1</v>
      </c>
      <c r="F2360" s="15">
        <v>45670</v>
      </c>
      <c r="G2360" s="28">
        <v>98.375998999999993</v>
      </c>
      <c r="H2360" s="15">
        <v>45763</v>
      </c>
      <c r="I2360">
        <v>54.155200000000001</v>
      </c>
      <c r="J2360">
        <v>125000</v>
      </c>
      <c r="K2360" s="28">
        <v>6.5307000000000004</v>
      </c>
    </row>
    <row r="2361" spans="1:12" x14ac:dyDescent="0.2">
      <c r="A2361" s="28" t="s">
        <v>10</v>
      </c>
      <c r="B2361" s="2" t="s">
        <v>29</v>
      </c>
      <c r="C2361" s="30">
        <v>1</v>
      </c>
      <c r="D2361" s="28">
        <f>YEAR(TableauFlitrage[[#This Row],[Date_d_adjudication]])</f>
        <v>2025</v>
      </c>
      <c r="E2361" s="28">
        <f t="shared" si="40"/>
        <v>1</v>
      </c>
      <c r="F2361" s="15">
        <v>45671</v>
      </c>
      <c r="G2361" s="28">
        <v>93.126467000000005</v>
      </c>
      <c r="H2361" s="15">
        <v>46037</v>
      </c>
      <c r="I2361">
        <v>186.66669999999999</v>
      </c>
      <c r="J2361">
        <v>15000</v>
      </c>
      <c r="K2361" s="28">
        <v>7.2998000000000003</v>
      </c>
    </row>
    <row r="2362" spans="1:12" x14ac:dyDescent="0.2">
      <c r="A2362" s="28" t="s">
        <v>9</v>
      </c>
      <c r="B2362" t="s">
        <v>30</v>
      </c>
      <c r="C2362" s="30" t="s">
        <v>55</v>
      </c>
      <c r="D2362" s="28">
        <f>YEAR(TableauFlitrage[[#This Row],[Date_d_adjudication]])</f>
        <v>2025</v>
      </c>
      <c r="E2362" s="28">
        <f t="shared" si="40"/>
        <v>1</v>
      </c>
      <c r="F2362" s="15">
        <v>45672</v>
      </c>
      <c r="G2362" s="28">
        <v>95.5197</v>
      </c>
      <c r="H2362" s="15">
        <v>46457</v>
      </c>
      <c r="I2362">
        <v>54.0642</v>
      </c>
      <c r="J2362">
        <v>10000</v>
      </c>
      <c r="K2362" s="28">
        <v>6.25</v>
      </c>
      <c r="L2362">
        <v>8.74</v>
      </c>
    </row>
    <row r="2363" spans="1:12" x14ac:dyDescent="0.2">
      <c r="A2363" s="28" t="s">
        <v>19</v>
      </c>
      <c r="B2363" s="2" t="s">
        <v>29</v>
      </c>
      <c r="C2363" s="30">
        <v>0.5</v>
      </c>
      <c r="D2363" s="28">
        <f>YEAR(TableauFlitrage[[#This Row],[Date_d_adjudication]])</f>
        <v>2025</v>
      </c>
      <c r="E2363" s="28">
        <f t="shared" si="40"/>
        <v>1</v>
      </c>
      <c r="F2363" s="15">
        <v>45677</v>
      </c>
      <c r="G2363" s="28">
        <v>96.658593999999994</v>
      </c>
      <c r="H2363" s="15">
        <v>45861</v>
      </c>
      <c r="I2363">
        <v>3.84</v>
      </c>
      <c r="J2363">
        <v>2500</v>
      </c>
      <c r="K2363" s="28">
        <v>6.8379000000000003</v>
      </c>
    </row>
    <row r="2364" spans="1:12" x14ac:dyDescent="0.2">
      <c r="A2364" s="28" t="s">
        <v>19</v>
      </c>
      <c r="B2364" s="2" t="s">
        <v>29</v>
      </c>
      <c r="C2364" s="30">
        <v>1</v>
      </c>
      <c r="D2364" s="28">
        <f>YEAR(TableauFlitrage[[#This Row],[Date_d_adjudication]])</f>
        <v>2025</v>
      </c>
      <c r="E2364" s="28">
        <f t="shared" si="40"/>
        <v>1</v>
      </c>
      <c r="F2364" s="15">
        <v>45677</v>
      </c>
      <c r="G2364" s="28">
        <v>92.922222000000005</v>
      </c>
      <c r="H2364" s="15">
        <v>46043</v>
      </c>
      <c r="I2364">
        <v>20</v>
      </c>
      <c r="J2364">
        <v>5000</v>
      </c>
      <c r="K2364" s="28">
        <v>7.5331999999999999</v>
      </c>
    </row>
    <row r="2365" spans="1:12" x14ac:dyDescent="0.2">
      <c r="A2365" s="28" t="s">
        <v>7</v>
      </c>
      <c r="B2365" s="2" t="s">
        <v>29</v>
      </c>
      <c r="C2365" s="30">
        <v>1</v>
      </c>
      <c r="D2365" s="28">
        <f>YEAR(TableauFlitrage[[#This Row],[Date_d_adjudication]])</f>
        <v>2025</v>
      </c>
      <c r="E2365" s="28">
        <f t="shared" si="40"/>
        <v>1</v>
      </c>
      <c r="F2365" s="15">
        <v>45677</v>
      </c>
      <c r="G2365" s="28">
        <v>93.225686999999994</v>
      </c>
      <c r="H2365" s="15">
        <v>46043</v>
      </c>
      <c r="I2365">
        <v>38.56</v>
      </c>
      <c r="J2365">
        <v>20000</v>
      </c>
      <c r="K2365" s="28">
        <v>7.1867000000000001</v>
      </c>
    </row>
    <row r="2366" spans="1:12" x14ac:dyDescent="0.2">
      <c r="A2366" s="28" t="s">
        <v>8</v>
      </c>
      <c r="B2366" s="2" t="s">
        <v>29</v>
      </c>
      <c r="C2366" s="30">
        <v>0.25</v>
      </c>
      <c r="D2366" s="28">
        <f>YEAR(TableauFlitrage[[#This Row],[Date_d_adjudication]])</f>
        <v>2025</v>
      </c>
      <c r="E2366" s="28">
        <f t="shared" si="40"/>
        <v>1</v>
      </c>
      <c r="F2366" s="15">
        <v>45678</v>
      </c>
      <c r="G2366" s="28">
        <v>98.357022000000001</v>
      </c>
      <c r="H2366" s="15">
        <v>45771</v>
      </c>
      <c r="I2366">
        <v>86.8</v>
      </c>
      <c r="J2366">
        <v>15000</v>
      </c>
      <c r="K2366" s="28">
        <v>6.6082999999999998</v>
      </c>
    </row>
    <row r="2367" spans="1:12" x14ac:dyDescent="0.2">
      <c r="A2367" s="28" t="s">
        <v>8</v>
      </c>
      <c r="B2367" s="2" t="s">
        <v>29</v>
      </c>
      <c r="C2367" s="30">
        <v>0.5</v>
      </c>
      <c r="D2367" s="28">
        <f>YEAR(TableauFlitrage[[#This Row],[Date_d_adjudication]])</f>
        <v>2025</v>
      </c>
      <c r="E2367" s="28">
        <f t="shared" si="40"/>
        <v>1</v>
      </c>
      <c r="F2367" s="15">
        <v>45678</v>
      </c>
      <c r="G2367" s="28">
        <v>96.617952000000002</v>
      </c>
      <c r="H2367" s="15">
        <v>45862</v>
      </c>
      <c r="I2367">
        <v>23.9</v>
      </c>
      <c r="J2367">
        <v>25000</v>
      </c>
      <c r="K2367" s="28">
        <v>6.9238999999999997</v>
      </c>
    </row>
    <row r="2368" spans="1:12" x14ac:dyDescent="0.2">
      <c r="A2368" s="28" t="s">
        <v>8</v>
      </c>
      <c r="B2368" s="2" t="s">
        <v>29</v>
      </c>
      <c r="C2368" s="30">
        <v>1</v>
      </c>
      <c r="D2368" s="28">
        <f>YEAR(TableauFlitrage[[#This Row],[Date_d_adjudication]])</f>
        <v>2025</v>
      </c>
      <c r="E2368" s="28">
        <f t="shared" si="40"/>
        <v>1</v>
      </c>
      <c r="F2368" s="15">
        <v>45678</v>
      </c>
      <c r="G2368" s="28">
        <v>93.118796000000003</v>
      </c>
      <c r="H2368" s="15">
        <v>46044</v>
      </c>
      <c r="I2368">
        <v>3.58</v>
      </c>
      <c r="J2368">
        <v>20000</v>
      </c>
      <c r="K2368" s="28">
        <v>7.3085000000000004</v>
      </c>
    </row>
    <row r="2369" spans="1:12" x14ac:dyDescent="0.2">
      <c r="A2369" s="28" t="s">
        <v>10</v>
      </c>
      <c r="B2369" t="s">
        <v>30</v>
      </c>
      <c r="C2369" s="30" t="s">
        <v>54</v>
      </c>
      <c r="D2369" s="28">
        <f>YEAR(TableauFlitrage[[#This Row],[Date_d_adjudication]])</f>
        <v>2025</v>
      </c>
      <c r="E2369" s="28">
        <f t="shared" si="40"/>
        <v>1</v>
      </c>
      <c r="F2369" s="15">
        <v>45678</v>
      </c>
      <c r="G2369" s="28">
        <v>91.444500000000005</v>
      </c>
      <c r="H2369" s="15">
        <v>46775</v>
      </c>
      <c r="I2369">
        <v>95.573999999999998</v>
      </c>
      <c r="J2369">
        <v>50000</v>
      </c>
      <c r="K2369" s="28">
        <v>7</v>
      </c>
      <c r="L2369">
        <v>10.39</v>
      </c>
    </row>
    <row r="2370" spans="1:12" x14ac:dyDescent="0.2">
      <c r="A2370" s="28" t="s">
        <v>9</v>
      </c>
      <c r="B2370" s="2" t="s">
        <v>29</v>
      </c>
      <c r="C2370" s="30">
        <v>0.25</v>
      </c>
      <c r="D2370" s="28">
        <f>YEAR(TableauFlitrage[[#This Row],[Date_d_adjudication]])</f>
        <v>2025</v>
      </c>
      <c r="E2370" s="28">
        <f t="shared" si="40"/>
        <v>1</v>
      </c>
      <c r="F2370" s="15">
        <v>45679</v>
      </c>
      <c r="G2370" s="28">
        <v>98.392697999999996</v>
      </c>
      <c r="H2370" s="15">
        <v>45772</v>
      </c>
      <c r="I2370">
        <v>66.408000000000001</v>
      </c>
      <c r="J2370">
        <v>12500</v>
      </c>
      <c r="K2370" s="28">
        <v>6.4623999999999997</v>
      </c>
    </row>
    <row r="2371" spans="1:12" x14ac:dyDescent="0.2">
      <c r="A2371" s="28" t="s">
        <v>11</v>
      </c>
      <c r="B2371" t="s">
        <v>30</v>
      </c>
      <c r="C2371" s="30" t="s">
        <v>55</v>
      </c>
      <c r="D2371" s="28">
        <f>YEAR(TableauFlitrage[[#This Row],[Date_d_adjudication]])</f>
        <v>2025</v>
      </c>
      <c r="E2371" s="28">
        <f t="shared" si="40"/>
        <v>1</v>
      </c>
      <c r="F2371" s="15">
        <v>45679</v>
      </c>
      <c r="G2371" s="28">
        <v>100</v>
      </c>
      <c r="H2371" s="15">
        <v>47507</v>
      </c>
      <c r="I2371">
        <v>58.333300000000001</v>
      </c>
      <c r="J2371">
        <v>12000</v>
      </c>
      <c r="K2371" s="28">
        <v>6.5</v>
      </c>
      <c r="L2371">
        <v>6.5</v>
      </c>
    </row>
    <row r="2372" spans="1:12" x14ac:dyDescent="0.2">
      <c r="A2372" s="28" t="s">
        <v>11</v>
      </c>
      <c r="B2372" t="s">
        <v>30</v>
      </c>
      <c r="C2372" s="30" t="s">
        <v>54</v>
      </c>
      <c r="D2372" s="28">
        <f>YEAR(TableauFlitrage[[#This Row],[Date_d_adjudication]])</f>
        <v>2025</v>
      </c>
      <c r="E2372" s="28">
        <f t="shared" si="40"/>
        <v>1</v>
      </c>
      <c r="F2372" s="15">
        <v>45679</v>
      </c>
      <c r="G2372" s="28">
        <v>90.048699999999997</v>
      </c>
      <c r="H2372" s="15">
        <v>46776</v>
      </c>
      <c r="I2372">
        <v>73.857299999999995</v>
      </c>
      <c r="J2372">
        <v>20000</v>
      </c>
      <c r="K2372" s="28">
        <v>6.5</v>
      </c>
      <c r="L2372">
        <v>10.45</v>
      </c>
    </row>
    <row r="2373" spans="1:12" x14ac:dyDescent="0.2">
      <c r="A2373" s="28" t="s">
        <v>7</v>
      </c>
      <c r="B2373" s="2" t="s">
        <v>29</v>
      </c>
      <c r="C2373" s="30">
        <v>0.5</v>
      </c>
      <c r="D2373" s="28">
        <f>YEAR(TableauFlitrage[[#This Row],[Date_d_adjudication]])</f>
        <v>2025</v>
      </c>
      <c r="E2373" s="28">
        <f t="shared" si="40"/>
        <v>1</v>
      </c>
      <c r="F2373" s="15">
        <v>45684</v>
      </c>
      <c r="G2373" s="28">
        <v>96.687704999999994</v>
      </c>
      <c r="H2373" s="15">
        <v>45868</v>
      </c>
      <c r="I2373">
        <v>104.104</v>
      </c>
      <c r="J2373">
        <v>25000</v>
      </c>
      <c r="K2373" s="28">
        <v>6.7762000000000002</v>
      </c>
    </row>
    <row r="2374" spans="1:12" x14ac:dyDescent="0.2">
      <c r="A2374" s="28" t="s">
        <v>8</v>
      </c>
      <c r="B2374" s="2" t="s">
        <v>29</v>
      </c>
      <c r="C2374" s="30">
        <v>0.25</v>
      </c>
      <c r="D2374" s="28">
        <f>YEAR(TableauFlitrage[[#This Row],[Date_d_adjudication]])</f>
        <v>2025</v>
      </c>
      <c r="E2374" s="28">
        <f t="shared" si="40"/>
        <v>1</v>
      </c>
      <c r="F2374" s="15">
        <v>45685</v>
      </c>
      <c r="G2374" s="28">
        <v>98.356943999999999</v>
      </c>
      <c r="H2374" s="15">
        <v>45778</v>
      </c>
      <c r="I2374">
        <v>71.94</v>
      </c>
      <c r="J2374">
        <v>50000</v>
      </c>
      <c r="K2374" s="28">
        <v>6.6086</v>
      </c>
    </row>
    <row r="2375" spans="1:12" x14ac:dyDescent="0.2">
      <c r="A2375" s="28" t="s">
        <v>8</v>
      </c>
      <c r="B2375" s="2" t="s">
        <v>29</v>
      </c>
      <c r="C2375" s="30">
        <v>0.5</v>
      </c>
      <c r="D2375" s="28">
        <f>YEAR(TableauFlitrage[[#This Row],[Date_d_adjudication]])</f>
        <v>2025</v>
      </c>
      <c r="E2375" s="28">
        <f t="shared" si="40"/>
        <v>1</v>
      </c>
      <c r="F2375" s="15">
        <v>45685</v>
      </c>
      <c r="G2375" s="28">
        <v>96.704967999999994</v>
      </c>
      <c r="H2375" s="15">
        <v>45862</v>
      </c>
      <c r="I2375">
        <v>24.25</v>
      </c>
      <c r="J2375">
        <v>20000</v>
      </c>
      <c r="K2375" s="28">
        <v>7.0092999999999996</v>
      </c>
    </row>
    <row r="2376" spans="1:12" x14ac:dyDescent="0.2">
      <c r="A2376" s="28" t="s">
        <v>8</v>
      </c>
      <c r="B2376" s="2" t="s">
        <v>29</v>
      </c>
      <c r="C2376" s="30">
        <v>1</v>
      </c>
      <c r="D2376" s="28">
        <f>YEAR(TableauFlitrage[[#This Row],[Date_d_adjudication]])</f>
        <v>2025</v>
      </c>
      <c r="E2376" s="28">
        <f t="shared" ref="E2376:E2424" si="41">MONTH(F2376)</f>
        <v>1</v>
      </c>
      <c r="F2376" s="15">
        <v>45685</v>
      </c>
      <c r="G2376" s="28">
        <v>93.436058000000003</v>
      </c>
      <c r="H2376" s="15">
        <v>46044</v>
      </c>
      <c r="I2376">
        <v>3.9159999999999999</v>
      </c>
      <c r="J2376">
        <v>25000</v>
      </c>
      <c r="K2376" s="28">
        <v>7.0841000000000003</v>
      </c>
    </row>
    <row r="2377" spans="1:12" x14ac:dyDescent="0.2">
      <c r="A2377" s="28" t="s">
        <v>10</v>
      </c>
      <c r="B2377" s="2" t="s">
        <v>29</v>
      </c>
      <c r="C2377" s="30">
        <v>1</v>
      </c>
      <c r="D2377" s="28">
        <f>YEAR(TableauFlitrage[[#This Row],[Date_d_adjudication]])</f>
        <v>2025</v>
      </c>
      <c r="E2377" s="28">
        <f t="shared" si="41"/>
        <v>1</v>
      </c>
      <c r="F2377" s="15">
        <v>45685</v>
      </c>
      <c r="G2377" s="28">
        <v>93.174999999999997</v>
      </c>
      <c r="H2377" s="15">
        <v>46051</v>
      </c>
      <c r="I2377">
        <v>188.2353</v>
      </c>
      <c r="J2377">
        <v>17000</v>
      </c>
      <c r="K2377" s="28">
        <v>7.2443999999999997</v>
      </c>
    </row>
    <row r="2378" spans="1:12" x14ac:dyDescent="0.2">
      <c r="A2378" s="28" t="s">
        <v>8</v>
      </c>
      <c r="B2378" t="s">
        <v>30</v>
      </c>
      <c r="C2378" s="30" t="s">
        <v>54</v>
      </c>
      <c r="D2378" s="28">
        <f>YEAR(TableauFlitrage[[#This Row],[Date_d_adjudication]])</f>
        <v>2025</v>
      </c>
      <c r="E2378" s="28">
        <f t="shared" si="41"/>
        <v>1</v>
      </c>
      <c r="F2378" s="15">
        <v>45685</v>
      </c>
      <c r="G2378" s="28">
        <v>91.060299999999998</v>
      </c>
      <c r="H2378" s="15">
        <v>46768</v>
      </c>
      <c r="I2378">
        <v>7.0667</v>
      </c>
      <c r="J2378">
        <v>15000</v>
      </c>
      <c r="K2378" s="28">
        <v>6</v>
      </c>
      <c r="L2378">
        <v>9.49</v>
      </c>
    </row>
    <row r="2379" spans="1:12" x14ac:dyDescent="0.2">
      <c r="A2379" s="28" t="s">
        <v>9</v>
      </c>
      <c r="B2379" s="2" t="s">
        <v>29</v>
      </c>
      <c r="C2379" s="30">
        <v>0.5</v>
      </c>
      <c r="D2379" s="28">
        <f>YEAR(TableauFlitrage[[#This Row],[Date_d_adjudication]])</f>
        <v>2025</v>
      </c>
      <c r="E2379" s="28">
        <f t="shared" si="41"/>
        <v>1</v>
      </c>
      <c r="F2379" s="15">
        <v>45686</v>
      </c>
      <c r="G2379" s="28">
        <v>96.664619000000002</v>
      </c>
      <c r="H2379" s="15">
        <v>45870</v>
      </c>
      <c r="I2379">
        <v>46.926699999999997</v>
      </c>
      <c r="J2379">
        <v>15000</v>
      </c>
      <c r="K2379" s="28">
        <v>6.8250999999999999</v>
      </c>
    </row>
    <row r="2380" spans="1:12" x14ac:dyDescent="0.2">
      <c r="A2380" s="28" t="s">
        <v>9</v>
      </c>
      <c r="B2380" s="2" t="s">
        <v>29</v>
      </c>
      <c r="C2380" s="30">
        <v>0.25</v>
      </c>
      <c r="D2380" s="28">
        <f>YEAR(TableauFlitrage[[#This Row],[Date_d_adjudication]])</f>
        <v>2025</v>
      </c>
      <c r="E2380" s="28">
        <f t="shared" si="41"/>
        <v>2</v>
      </c>
      <c r="F2380" s="15">
        <v>45693</v>
      </c>
      <c r="G2380" s="28">
        <v>98.418610999999999</v>
      </c>
      <c r="H2380" s="15">
        <v>45786</v>
      </c>
      <c r="I2380">
        <v>15.91</v>
      </c>
      <c r="J2380">
        <v>10000</v>
      </c>
      <c r="K2380" s="28">
        <v>6.3566000000000003</v>
      </c>
    </row>
    <row r="2381" spans="1:12" x14ac:dyDescent="0.2">
      <c r="A2381" s="28" t="s">
        <v>9</v>
      </c>
      <c r="B2381" t="s">
        <v>30</v>
      </c>
      <c r="C2381" s="30" t="s">
        <v>54</v>
      </c>
      <c r="D2381" s="28">
        <f>YEAR(TableauFlitrage[[#This Row],[Date_d_adjudication]])</f>
        <v>2025</v>
      </c>
      <c r="E2381" s="28">
        <f t="shared" si="41"/>
        <v>2</v>
      </c>
      <c r="F2381" s="15">
        <v>45693</v>
      </c>
      <c r="G2381" s="28">
        <v>90</v>
      </c>
      <c r="H2381" s="15">
        <v>46788</v>
      </c>
      <c r="I2381">
        <v>16</v>
      </c>
      <c r="J2381">
        <v>25000</v>
      </c>
      <c r="K2381" s="28">
        <v>5.5</v>
      </c>
      <c r="L2381">
        <v>9.4</v>
      </c>
    </row>
    <row r="2382" spans="1:12" x14ac:dyDescent="0.2">
      <c r="A2382" s="28" t="s">
        <v>9</v>
      </c>
      <c r="B2382" t="s">
        <v>30</v>
      </c>
      <c r="C2382" s="30" t="s">
        <v>56</v>
      </c>
      <c r="D2382" s="28">
        <f>YEAR(TableauFlitrage[[#This Row],[Date_d_adjudication]])</f>
        <v>2025</v>
      </c>
      <c r="E2382" s="28">
        <f t="shared" si="41"/>
        <v>2</v>
      </c>
      <c r="F2382" s="15">
        <v>45693</v>
      </c>
      <c r="G2382" s="28">
        <v>94.638999999999996</v>
      </c>
      <c r="H2382" s="15">
        <v>46925</v>
      </c>
      <c r="I2382">
        <v>100</v>
      </c>
      <c r="J2382">
        <v>30000</v>
      </c>
      <c r="K2382" s="28">
        <v>5.75</v>
      </c>
      <c r="L2382">
        <v>7.79</v>
      </c>
    </row>
    <row r="2383" spans="1:12" x14ac:dyDescent="0.2">
      <c r="A2383" s="28" t="s">
        <v>9</v>
      </c>
      <c r="B2383" t="s">
        <v>30</v>
      </c>
      <c r="C2383" s="30" t="s">
        <v>55</v>
      </c>
      <c r="D2383" s="28">
        <f>YEAR(TableauFlitrage[[#This Row],[Date_d_adjudication]])</f>
        <v>2025</v>
      </c>
      <c r="E2383" s="28">
        <f t="shared" si="41"/>
        <v>2</v>
      </c>
      <c r="F2383" s="15">
        <v>45693</v>
      </c>
      <c r="G2383" s="28">
        <v>92.586399999999998</v>
      </c>
      <c r="H2383" s="15">
        <v>47088</v>
      </c>
      <c r="I2383">
        <v>75.25</v>
      </c>
      <c r="J2383">
        <v>20000</v>
      </c>
      <c r="K2383" s="28">
        <v>6.75</v>
      </c>
      <c r="L2383">
        <v>9</v>
      </c>
    </row>
    <row r="2384" spans="1:12" x14ac:dyDescent="0.2">
      <c r="A2384" s="28" t="s">
        <v>7</v>
      </c>
      <c r="B2384" s="2" t="s">
        <v>29</v>
      </c>
      <c r="C2384" s="30">
        <v>0.5</v>
      </c>
      <c r="D2384" s="28">
        <f>YEAR(TableauFlitrage[[#This Row],[Date_d_adjudication]])</f>
        <v>2025</v>
      </c>
      <c r="E2384" s="28">
        <f t="shared" si="41"/>
        <v>2</v>
      </c>
      <c r="F2384" s="15">
        <v>45698</v>
      </c>
      <c r="G2384" s="28">
        <v>96.612778000000006</v>
      </c>
      <c r="H2384" s="15">
        <v>45882</v>
      </c>
      <c r="I2384">
        <v>101</v>
      </c>
      <c r="J2384">
        <v>10000</v>
      </c>
      <c r="K2384" s="28">
        <v>6.9348999999999998</v>
      </c>
    </row>
    <row r="2385" spans="1:12" x14ac:dyDescent="0.2">
      <c r="A2385" s="28" t="s">
        <v>7</v>
      </c>
      <c r="B2385" s="2" t="s">
        <v>29</v>
      </c>
      <c r="C2385" s="30">
        <v>1</v>
      </c>
      <c r="D2385" s="28">
        <f>YEAR(TableauFlitrage[[#This Row],[Date_d_adjudication]])</f>
        <v>2025</v>
      </c>
      <c r="E2385" s="28">
        <f t="shared" si="41"/>
        <v>2</v>
      </c>
      <c r="F2385" s="15">
        <v>45698</v>
      </c>
      <c r="G2385" s="28">
        <v>93.073888999999994</v>
      </c>
      <c r="H2385" s="15">
        <v>46064</v>
      </c>
      <c r="I2385">
        <v>100</v>
      </c>
      <c r="J2385">
        <v>20000</v>
      </c>
      <c r="K2385" s="28">
        <v>7.3597000000000001</v>
      </c>
    </row>
    <row r="2386" spans="1:12" x14ac:dyDescent="0.2">
      <c r="A2386" s="28" t="s">
        <v>11</v>
      </c>
      <c r="B2386" t="s">
        <v>30</v>
      </c>
      <c r="C2386" s="30" t="s">
        <v>55</v>
      </c>
      <c r="D2386" s="28">
        <f>YEAR(TableauFlitrage[[#This Row],[Date_d_adjudication]])</f>
        <v>2025</v>
      </c>
      <c r="E2386" s="28">
        <f t="shared" si="41"/>
        <v>2</v>
      </c>
      <c r="F2386" s="15">
        <v>45698</v>
      </c>
      <c r="G2386" s="28">
        <v>100</v>
      </c>
      <c r="H2386" s="15">
        <v>47535</v>
      </c>
      <c r="I2386">
        <v>100</v>
      </c>
      <c r="J2386">
        <v>5000</v>
      </c>
      <c r="K2386" s="28">
        <v>6.5</v>
      </c>
      <c r="L2386">
        <v>6.5</v>
      </c>
    </row>
    <row r="2387" spans="1:12" x14ac:dyDescent="0.2">
      <c r="A2387" s="28" t="s">
        <v>7</v>
      </c>
      <c r="B2387" s="2" t="s">
        <v>29</v>
      </c>
      <c r="C2387" s="30">
        <v>0.5</v>
      </c>
      <c r="D2387" s="28">
        <f>YEAR(TableauFlitrage[[#This Row],[Date_d_adjudication]])</f>
        <v>2025</v>
      </c>
      <c r="E2387" s="28">
        <f t="shared" si="41"/>
        <v>2</v>
      </c>
      <c r="F2387" s="15">
        <v>45705</v>
      </c>
      <c r="G2387" s="28">
        <v>96.627352000000002</v>
      </c>
      <c r="H2387" s="15">
        <v>45889</v>
      </c>
      <c r="I2387">
        <v>70.28</v>
      </c>
      <c r="J2387">
        <v>50000</v>
      </c>
      <c r="K2387" s="28">
        <v>6.9039999999999999</v>
      </c>
    </row>
    <row r="2388" spans="1:12" x14ac:dyDescent="0.2">
      <c r="A2388" s="28" t="s">
        <v>10</v>
      </c>
      <c r="B2388" s="2" t="s">
        <v>29</v>
      </c>
      <c r="C2388" s="30">
        <v>1</v>
      </c>
      <c r="D2388" s="28">
        <f>YEAR(TableauFlitrage[[#This Row],[Date_d_adjudication]])</f>
        <v>2025</v>
      </c>
      <c r="E2388" s="28">
        <f t="shared" si="41"/>
        <v>2</v>
      </c>
      <c r="F2388" s="15">
        <v>45706</v>
      </c>
      <c r="G2388" s="28">
        <v>93.332454999999996</v>
      </c>
      <c r="H2388" s="15">
        <v>46072</v>
      </c>
      <c r="I2388">
        <v>188.58</v>
      </c>
      <c r="J2388">
        <v>10000</v>
      </c>
      <c r="K2388" s="28">
        <v>6.65</v>
      </c>
    </row>
    <row r="2389" spans="1:12" x14ac:dyDescent="0.2">
      <c r="A2389" s="28" t="s">
        <v>9</v>
      </c>
      <c r="B2389" s="2" t="s">
        <v>29</v>
      </c>
      <c r="C2389" s="30">
        <v>0.5</v>
      </c>
      <c r="D2389" s="28">
        <f>YEAR(TableauFlitrage[[#This Row],[Date_d_adjudication]])</f>
        <v>2025</v>
      </c>
      <c r="E2389" s="28">
        <f t="shared" si="41"/>
        <v>2</v>
      </c>
      <c r="F2389" s="15">
        <v>45707</v>
      </c>
      <c r="G2389" s="28">
        <v>96.739166999999995</v>
      </c>
      <c r="H2389" s="15">
        <v>45891</v>
      </c>
      <c r="I2389">
        <v>100</v>
      </c>
      <c r="J2389">
        <v>25000</v>
      </c>
      <c r="K2389" s="28">
        <v>6.6673999999999998</v>
      </c>
    </row>
    <row r="2390" spans="1:12" x14ac:dyDescent="0.2">
      <c r="A2390" s="28" t="s">
        <v>9</v>
      </c>
      <c r="B2390" s="2" t="s">
        <v>29</v>
      </c>
      <c r="C2390" s="30">
        <v>1</v>
      </c>
      <c r="D2390" s="28">
        <f>YEAR(TableauFlitrage[[#This Row],[Date_d_adjudication]])</f>
        <v>2025</v>
      </c>
      <c r="E2390" s="28">
        <f t="shared" si="41"/>
        <v>2</v>
      </c>
      <c r="F2390" s="15">
        <v>45707</v>
      </c>
      <c r="G2390" s="28">
        <v>93.427778000000004</v>
      </c>
      <c r="H2390" s="15">
        <v>46073</v>
      </c>
      <c r="I2390">
        <v>77.41</v>
      </c>
      <c r="J2390">
        <v>30000</v>
      </c>
      <c r="K2390" s="28">
        <v>6.9572000000000003</v>
      </c>
    </row>
    <row r="2391" spans="1:12" x14ac:dyDescent="0.2">
      <c r="A2391" s="28" t="s">
        <v>9</v>
      </c>
      <c r="B2391" t="s">
        <v>30</v>
      </c>
      <c r="C2391" s="30" t="s">
        <v>53</v>
      </c>
      <c r="D2391" s="28">
        <f>YEAR(TableauFlitrage[[#This Row],[Date_d_adjudication]])</f>
        <v>2025</v>
      </c>
      <c r="E2391" s="28">
        <f t="shared" si="41"/>
        <v>2</v>
      </c>
      <c r="F2391" s="15">
        <v>45707</v>
      </c>
      <c r="G2391" s="28">
        <v>101.7945</v>
      </c>
      <c r="H2391" s="15">
        <v>45943</v>
      </c>
      <c r="I2391">
        <v>100</v>
      </c>
      <c r="J2391">
        <v>10000</v>
      </c>
      <c r="K2391" s="28">
        <v>5</v>
      </c>
      <c r="L2391">
        <v>3.16</v>
      </c>
    </row>
    <row r="2392" spans="1:12" x14ac:dyDescent="0.2">
      <c r="A2392" s="28" t="s">
        <v>9</v>
      </c>
      <c r="B2392" t="s">
        <v>30</v>
      </c>
      <c r="C2392" s="30" t="s">
        <v>53</v>
      </c>
      <c r="D2392" s="28">
        <f>YEAR(TableauFlitrage[[#This Row],[Date_d_adjudication]])</f>
        <v>2025</v>
      </c>
      <c r="E2392" s="28">
        <f t="shared" si="41"/>
        <v>2</v>
      </c>
      <c r="F2392" s="15">
        <v>45707</v>
      </c>
      <c r="G2392" s="28">
        <v>101.1233</v>
      </c>
      <c r="H2392" s="15">
        <v>45992</v>
      </c>
      <c r="I2392">
        <v>95.755200000000002</v>
      </c>
      <c r="J2392">
        <v>40000</v>
      </c>
      <c r="K2392" s="28">
        <v>5</v>
      </c>
      <c r="L2392">
        <v>3.84</v>
      </c>
    </row>
    <row r="2393" spans="1:12" x14ac:dyDescent="0.2">
      <c r="A2393" s="28" t="s">
        <v>9</v>
      </c>
      <c r="B2393" t="s">
        <v>30</v>
      </c>
      <c r="C2393" s="30" t="s">
        <v>55</v>
      </c>
      <c r="D2393" s="28">
        <f>YEAR(TableauFlitrage[[#This Row],[Date_d_adjudication]])</f>
        <v>2025</v>
      </c>
      <c r="E2393" s="28">
        <f t="shared" si="41"/>
        <v>2</v>
      </c>
      <c r="F2393" s="15">
        <v>45707</v>
      </c>
      <c r="G2393" s="28">
        <v>102.6534</v>
      </c>
      <c r="H2393" s="15">
        <v>45925</v>
      </c>
      <c r="I2393">
        <v>98.238600000000005</v>
      </c>
      <c r="J2393">
        <v>15000</v>
      </c>
      <c r="K2393" s="28">
        <v>6.5</v>
      </c>
      <c r="L2393">
        <v>3.77</v>
      </c>
    </row>
    <row r="2394" spans="1:12" x14ac:dyDescent="0.2">
      <c r="A2394" s="28" t="s">
        <v>9</v>
      </c>
      <c r="B2394" t="s">
        <v>30</v>
      </c>
      <c r="C2394" s="30" t="s">
        <v>55</v>
      </c>
      <c r="D2394" s="28">
        <f>YEAR(TableauFlitrage[[#This Row],[Date_d_adjudication]])</f>
        <v>2025</v>
      </c>
      <c r="E2394" s="28">
        <f t="shared" si="41"/>
        <v>2</v>
      </c>
      <c r="F2394" s="15">
        <v>45707</v>
      </c>
      <c r="G2394" s="28">
        <v>101.53149999999999</v>
      </c>
      <c r="H2394" s="15">
        <v>45988</v>
      </c>
      <c r="I2394">
        <v>10</v>
      </c>
      <c r="J2394">
        <v>10000</v>
      </c>
      <c r="K2394" s="28">
        <v>6.5</v>
      </c>
      <c r="L2394">
        <v>4.91</v>
      </c>
    </row>
    <row r="2395" spans="1:12" x14ac:dyDescent="0.2">
      <c r="A2395" s="28" t="s">
        <v>9</v>
      </c>
      <c r="B2395" t="s">
        <v>30</v>
      </c>
      <c r="C2395" s="30" t="s">
        <v>55</v>
      </c>
      <c r="D2395" s="28">
        <f>YEAR(TableauFlitrage[[#This Row],[Date_d_adjudication]])</f>
        <v>2025</v>
      </c>
      <c r="E2395" s="28">
        <f t="shared" si="41"/>
        <v>2</v>
      </c>
      <c r="F2395" s="15">
        <v>45707</v>
      </c>
      <c r="G2395" s="28">
        <v>101.0329</v>
      </c>
      <c r="H2395" s="15">
        <v>46016</v>
      </c>
      <c r="I2395">
        <v>75</v>
      </c>
      <c r="J2395">
        <v>10000</v>
      </c>
      <c r="K2395" s="28">
        <v>6.5</v>
      </c>
      <c r="L2395">
        <v>5.43</v>
      </c>
    </row>
    <row r="2396" spans="1:12" x14ac:dyDescent="0.2">
      <c r="A2396" s="28" t="s">
        <v>9</v>
      </c>
      <c r="B2396" t="s">
        <v>30</v>
      </c>
      <c r="C2396" s="30" t="s">
        <v>53</v>
      </c>
      <c r="D2396" s="28">
        <f>YEAR(TableauFlitrage[[#This Row],[Date_d_adjudication]])</f>
        <v>2025</v>
      </c>
      <c r="E2396" s="28">
        <f t="shared" si="41"/>
        <v>2</v>
      </c>
      <c r="F2396" s="15">
        <v>45707</v>
      </c>
      <c r="G2396" s="28">
        <v>92</v>
      </c>
      <c r="H2396" s="15">
        <v>46439</v>
      </c>
      <c r="I2396">
        <v>98.909099999999995</v>
      </c>
      <c r="J2396">
        <v>55000</v>
      </c>
      <c r="K2396" s="28">
        <v>5</v>
      </c>
      <c r="L2396">
        <v>9.49</v>
      </c>
    </row>
    <row r="2397" spans="1:12" x14ac:dyDescent="0.2">
      <c r="A2397" s="28" t="s">
        <v>9</v>
      </c>
      <c r="B2397" t="s">
        <v>30</v>
      </c>
      <c r="C2397" s="30" t="s">
        <v>55</v>
      </c>
      <c r="D2397" s="28">
        <f>YEAR(TableauFlitrage[[#This Row],[Date_d_adjudication]])</f>
        <v>2025</v>
      </c>
      <c r="E2397" s="28">
        <f t="shared" si="41"/>
        <v>2</v>
      </c>
      <c r="F2397" s="15">
        <v>45707</v>
      </c>
      <c r="G2397" s="28">
        <v>99.287700000000001</v>
      </c>
      <c r="H2397" s="15">
        <v>46247</v>
      </c>
      <c r="I2397">
        <v>100</v>
      </c>
      <c r="J2397">
        <v>25000</v>
      </c>
      <c r="K2397" s="28">
        <v>6.25</v>
      </c>
      <c r="L2397">
        <v>7</v>
      </c>
    </row>
    <row r="2398" spans="1:12" x14ac:dyDescent="0.2">
      <c r="A2398" s="28" t="s">
        <v>9</v>
      </c>
      <c r="B2398" t="s">
        <v>30</v>
      </c>
      <c r="C2398" s="30" t="s">
        <v>55</v>
      </c>
      <c r="D2398" s="28">
        <f>YEAR(TableauFlitrage[[#This Row],[Date_d_adjudication]])</f>
        <v>2025</v>
      </c>
      <c r="E2398" s="28">
        <f t="shared" si="41"/>
        <v>2</v>
      </c>
      <c r="F2398" s="15">
        <v>45707</v>
      </c>
      <c r="G2398" s="28">
        <v>90</v>
      </c>
      <c r="H2398" s="15">
        <v>47535</v>
      </c>
      <c r="I2398">
        <v>57.510599999999997</v>
      </c>
      <c r="J2398">
        <v>20000</v>
      </c>
      <c r="K2398" s="28">
        <v>6.75</v>
      </c>
      <c r="L2398">
        <v>9.3000000000000007</v>
      </c>
    </row>
    <row r="2399" spans="1:12" x14ac:dyDescent="0.2">
      <c r="A2399" s="28" t="s">
        <v>9</v>
      </c>
      <c r="B2399" t="s">
        <v>30</v>
      </c>
      <c r="C2399" s="30" t="s">
        <v>58</v>
      </c>
      <c r="D2399" s="28">
        <f>YEAR(TableauFlitrage[[#This Row],[Date_d_adjudication]])</f>
        <v>2025</v>
      </c>
      <c r="E2399" s="28">
        <f t="shared" si="41"/>
        <v>2</v>
      </c>
      <c r="F2399" s="15">
        <v>45707</v>
      </c>
      <c r="G2399" s="28">
        <v>90</v>
      </c>
      <c r="H2399" s="15">
        <v>48265</v>
      </c>
      <c r="I2399">
        <v>74.5989</v>
      </c>
      <c r="J2399">
        <v>15000</v>
      </c>
      <c r="K2399" s="28">
        <v>8</v>
      </c>
      <c r="L2399">
        <v>10.02</v>
      </c>
    </row>
    <row r="2400" spans="1:12" x14ac:dyDescent="0.2">
      <c r="A2400" s="28" t="s">
        <v>9</v>
      </c>
      <c r="B2400" t="s">
        <v>30</v>
      </c>
      <c r="C2400" s="30" t="s">
        <v>54</v>
      </c>
      <c r="D2400" s="28">
        <f>YEAR(TableauFlitrage[[#This Row],[Date_d_adjudication]])</f>
        <v>2025</v>
      </c>
      <c r="E2400" s="28">
        <f t="shared" si="41"/>
        <v>2</v>
      </c>
      <c r="F2400" s="15">
        <v>45707</v>
      </c>
      <c r="G2400" s="28">
        <v>90.5</v>
      </c>
      <c r="H2400" s="15">
        <v>46804</v>
      </c>
      <c r="I2400">
        <v>81.619600000000005</v>
      </c>
      <c r="J2400">
        <v>65000</v>
      </c>
      <c r="K2400" s="28">
        <v>5.75</v>
      </c>
      <c r="L2400">
        <v>9.4600000000000009</v>
      </c>
    </row>
    <row r="2401" spans="1:12" x14ac:dyDescent="0.2">
      <c r="A2401" s="28" t="s">
        <v>9</v>
      </c>
      <c r="B2401" t="s">
        <v>30</v>
      </c>
      <c r="C2401" s="30" t="s">
        <v>56</v>
      </c>
      <c r="D2401" s="28">
        <f>YEAR(TableauFlitrage[[#This Row],[Date_d_adjudication]])</f>
        <v>2025</v>
      </c>
      <c r="E2401" s="28">
        <f t="shared" si="41"/>
        <v>2</v>
      </c>
      <c r="F2401" s="15">
        <v>45707</v>
      </c>
      <c r="G2401" s="28">
        <v>90</v>
      </c>
      <c r="H2401" s="15">
        <v>47170</v>
      </c>
      <c r="I2401">
        <v>99.933329999999998</v>
      </c>
      <c r="J2401">
        <v>30000</v>
      </c>
      <c r="K2401" s="28">
        <v>6.5</v>
      </c>
      <c r="L2401">
        <v>9.57</v>
      </c>
    </row>
    <row r="2402" spans="1:12" x14ac:dyDescent="0.2">
      <c r="A2402" s="28" t="s">
        <v>9</v>
      </c>
      <c r="B2402" t="s">
        <v>30</v>
      </c>
      <c r="C2402" s="30" t="s">
        <v>56</v>
      </c>
      <c r="D2402" s="28">
        <f>YEAR(TableauFlitrage[[#This Row],[Date_d_adjudication]])</f>
        <v>2025</v>
      </c>
      <c r="E2402" s="28">
        <f t="shared" si="41"/>
        <v>2</v>
      </c>
      <c r="F2402" s="15">
        <v>45707</v>
      </c>
      <c r="G2402" s="28">
        <v>90</v>
      </c>
      <c r="H2402" s="15">
        <v>47900</v>
      </c>
      <c r="I2402">
        <v>44.53</v>
      </c>
      <c r="J2402">
        <v>10000</v>
      </c>
      <c r="K2402" s="28">
        <v>7.5</v>
      </c>
      <c r="L2402">
        <v>9.74</v>
      </c>
    </row>
    <row r="2403" spans="1:12" x14ac:dyDescent="0.2">
      <c r="A2403" s="28" t="s">
        <v>11</v>
      </c>
      <c r="B2403" t="s">
        <v>30</v>
      </c>
      <c r="C2403" s="30" t="s">
        <v>54</v>
      </c>
      <c r="D2403" s="28">
        <f>YEAR(TableauFlitrage[[#This Row],[Date_d_adjudication]])</f>
        <v>2025</v>
      </c>
      <c r="E2403" s="28">
        <f t="shared" si="41"/>
        <v>2</v>
      </c>
      <c r="F2403" s="15">
        <v>45707</v>
      </c>
      <c r="G2403" s="28">
        <v>90.061999999999998</v>
      </c>
      <c r="H2403" s="15">
        <v>46804</v>
      </c>
      <c r="I2403">
        <v>44.101500000000001</v>
      </c>
      <c r="J2403">
        <v>15000</v>
      </c>
      <c r="K2403" s="28">
        <v>6.5</v>
      </c>
      <c r="L2403">
        <v>10.44</v>
      </c>
    </row>
    <row r="2404" spans="1:12" x14ac:dyDescent="0.2">
      <c r="A2404" s="28" t="s">
        <v>7</v>
      </c>
      <c r="B2404" s="2" t="s">
        <v>29</v>
      </c>
      <c r="C2404" s="30">
        <v>0.5</v>
      </c>
      <c r="D2404" s="28">
        <f>YEAR(TableauFlitrage[[#This Row],[Date_d_adjudication]])</f>
        <v>2025</v>
      </c>
      <c r="E2404" s="28">
        <f t="shared" si="41"/>
        <v>2</v>
      </c>
      <c r="F2404" s="15">
        <v>45712</v>
      </c>
      <c r="G2404" s="28">
        <v>96.758307000000002</v>
      </c>
      <c r="H2404" s="15">
        <v>45896</v>
      </c>
      <c r="I2404">
        <v>111.745</v>
      </c>
      <c r="J2404">
        <v>20000</v>
      </c>
      <c r="K2404" s="28">
        <v>6.6269999999999998</v>
      </c>
    </row>
    <row r="2405" spans="1:12" x14ac:dyDescent="0.2">
      <c r="A2405" s="28" t="s">
        <v>10</v>
      </c>
      <c r="B2405" s="2" t="s">
        <v>29</v>
      </c>
      <c r="C2405" s="30">
        <v>1</v>
      </c>
      <c r="D2405" s="28">
        <f>YEAR(TableauFlitrage[[#This Row],[Date_d_adjudication]])</f>
        <v>2025</v>
      </c>
      <c r="E2405" s="28">
        <f t="shared" si="41"/>
        <v>2</v>
      </c>
      <c r="F2405" s="15">
        <v>45713</v>
      </c>
      <c r="G2405" s="28">
        <v>93.385176000000001</v>
      </c>
      <c r="H2405" s="15">
        <v>46079</v>
      </c>
      <c r="I2405">
        <v>119.72</v>
      </c>
      <c r="J2405">
        <v>15000</v>
      </c>
      <c r="K2405" s="28">
        <v>7.0054999999999996</v>
      </c>
    </row>
    <row r="2406" spans="1:12" x14ac:dyDescent="0.2">
      <c r="A2406" s="28" t="s">
        <v>9</v>
      </c>
      <c r="B2406" s="2" t="s">
        <v>29</v>
      </c>
      <c r="C2406" s="30">
        <v>0.5</v>
      </c>
      <c r="D2406" s="28">
        <f>YEAR(TableauFlitrage[[#This Row],[Date_d_adjudication]])</f>
        <v>2025</v>
      </c>
      <c r="E2406" s="28">
        <f t="shared" si="41"/>
        <v>2</v>
      </c>
      <c r="F2406" s="15">
        <v>45714</v>
      </c>
      <c r="G2406" s="28">
        <v>96.765940999999998</v>
      </c>
      <c r="H2406" s="15">
        <v>45898</v>
      </c>
      <c r="I2406">
        <v>111.4667</v>
      </c>
      <c r="J2406">
        <v>7500</v>
      </c>
      <c r="K2406" s="28">
        <v>6.6108000000000002</v>
      </c>
    </row>
    <row r="2407" spans="1:12" x14ac:dyDescent="0.2">
      <c r="A2407" s="28" t="s">
        <v>11</v>
      </c>
      <c r="B2407" t="s">
        <v>30</v>
      </c>
      <c r="C2407" s="30" t="s">
        <v>54</v>
      </c>
      <c r="D2407" s="28">
        <f>YEAR(TableauFlitrage[[#This Row],[Date_d_adjudication]])</f>
        <v>2025</v>
      </c>
      <c r="E2407" s="28">
        <f t="shared" si="41"/>
        <v>2</v>
      </c>
      <c r="F2407" s="15">
        <v>45714</v>
      </c>
      <c r="G2407" s="28">
        <v>90.014899999999997</v>
      </c>
      <c r="H2407" s="15">
        <v>46811</v>
      </c>
      <c r="I2407">
        <v>109.94970000000001</v>
      </c>
      <c r="J2407">
        <v>10000</v>
      </c>
      <c r="K2407" s="28">
        <v>6.5</v>
      </c>
      <c r="L2407">
        <v>10.46</v>
      </c>
    </row>
    <row r="2408" spans="1:12" x14ac:dyDescent="0.2">
      <c r="A2408" s="28" t="s">
        <v>7</v>
      </c>
      <c r="B2408" s="2" t="s">
        <v>29</v>
      </c>
      <c r="C2408" s="30">
        <v>0.5</v>
      </c>
      <c r="D2408" s="28">
        <f>YEAR(TableauFlitrage[[#This Row],[Date_d_adjudication]])</f>
        <v>2025</v>
      </c>
      <c r="E2408" s="28">
        <f t="shared" si="41"/>
        <v>3</v>
      </c>
      <c r="F2408" s="15">
        <v>45719</v>
      </c>
      <c r="G2408" s="28">
        <v>96.584615999999997</v>
      </c>
      <c r="H2408" s="15">
        <v>45903</v>
      </c>
      <c r="I2408">
        <v>108.4629</v>
      </c>
      <c r="J2408">
        <v>35000</v>
      </c>
      <c r="K2408" s="28">
        <v>6.9946000000000002</v>
      </c>
    </row>
    <row r="2409" spans="1:12" x14ac:dyDescent="0.2">
      <c r="A2409" s="28" t="s">
        <v>7</v>
      </c>
      <c r="B2409" s="2" t="s">
        <v>29</v>
      </c>
      <c r="C2409" s="30">
        <v>1</v>
      </c>
      <c r="D2409" s="28">
        <f>YEAR(TableauFlitrage[[#This Row],[Date_d_adjudication]])</f>
        <v>2025</v>
      </c>
      <c r="E2409" s="28">
        <f t="shared" si="41"/>
        <v>3</v>
      </c>
      <c r="F2409" s="15">
        <v>45719</v>
      </c>
      <c r="G2409" s="28">
        <v>93.046608000000006</v>
      </c>
      <c r="H2409" s="15">
        <v>46085</v>
      </c>
      <c r="I2409">
        <v>44.571399999999997</v>
      </c>
      <c r="J2409">
        <v>35000</v>
      </c>
      <c r="K2409" s="28">
        <v>7.3909000000000002</v>
      </c>
    </row>
    <row r="2410" spans="1:12" x14ac:dyDescent="0.2">
      <c r="A2410" s="28" t="s">
        <v>8</v>
      </c>
      <c r="B2410" s="2" t="s">
        <v>29</v>
      </c>
      <c r="C2410" s="30">
        <v>0.5</v>
      </c>
      <c r="D2410" s="28">
        <f>YEAR(TableauFlitrage[[#This Row],[Date_d_adjudication]])</f>
        <v>2025</v>
      </c>
      <c r="E2410" s="28">
        <f t="shared" si="41"/>
        <v>3</v>
      </c>
      <c r="F2410" s="15">
        <v>45720</v>
      </c>
      <c r="G2410" s="28">
        <v>96.838595999999995</v>
      </c>
      <c r="H2410" s="15">
        <v>45897</v>
      </c>
      <c r="I2410">
        <v>41.9</v>
      </c>
      <c r="J2410">
        <v>25000</v>
      </c>
      <c r="K2410" s="28">
        <v>6.7157999999999998</v>
      </c>
    </row>
    <row r="2411" spans="1:12" x14ac:dyDescent="0.2">
      <c r="A2411" s="28" t="s">
        <v>8</v>
      </c>
      <c r="B2411" s="2" t="s">
        <v>29</v>
      </c>
      <c r="C2411" s="30">
        <v>0.25</v>
      </c>
      <c r="D2411" s="28">
        <f>YEAR(TableauFlitrage[[#This Row],[Date_d_adjudication]])</f>
        <v>2025</v>
      </c>
      <c r="E2411" s="28">
        <f t="shared" si="41"/>
        <v>3</v>
      </c>
      <c r="F2411" s="15">
        <v>45720</v>
      </c>
      <c r="G2411" s="28">
        <v>98.319795999999997</v>
      </c>
      <c r="H2411" s="15">
        <v>45813</v>
      </c>
      <c r="I2411">
        <v>148.50399999999999</v>
      </c>
      <c r="J2411">
        <v>25000</v>
      </c>
      <c r="K2411" s="28">
        <v>6.7606000000000002</v>
      </c>
    </row>
    <row r="2412" spans="1:12" x14ac:dyDescent="0.2">
      <c r="A2412" s="28" t="s">
        <v>8</v>
      </c>
      <c r="B2412" s="2" t="s">
        <v>29</v>
      </c>
      <c r="C2412" s="30">
        <v>0.25</v>
      </c>
      <c r="D2412" s="28">
        <f>YEAR(TableauFlitrage[[#This Row],[Date_d_adjudication]])</f>
        <v>2025</v>
      </c>
      <c r="E2412" s="28">
        <f t="shared" si="41"/>
        <v>3</v>
      </c>
      <c r="F2412" s="15">
        <v>45720</v>
      </c>
      <c r="G2412" s="28">
        <v>98.319795999999997</v>
      </c>
      <c r="H2412" s="15">
        <v>45813</v>
      </c>
      <c r="I2412">
        <v>58.823999999999998</v>
      </c>
      <c r="J2412">
        <v>12126</v>
      </c>
      <c r="K2412" s="28">
        <v>6.7606000000000002</v>
      </c>
    </row>
    <row r="2413" spans="1:12" x14ac:dyDescent="0.2">
      <c r="A2413" s="28" t="s">
        <v>9</v>
      </c>
      <c r="B2413" s="2" t="s">
        <v>29</v>
      </c>
      <c r="C2413" s="30">
        <v>0.25</v>
      </c>
      <c r="D2413" s="28">
        <f>YEAR(TableauFlitrage[[#This Row],[Date_d_adjudication]])</f>
        <v>2025</v>
      </c>
      <c r="E2413" s="28">
        <f t="shared" si="41"/>
        <v>3</v>
      </c>
      <c r="F2413" s="15">
        <v>45721</v>
      </c>
      <c r="G2413" s="28">
        <v>98.402676</v>
      </c>
      <c r="H2413" s="15">
        <v>45814</v>
      </c>
      <c r="I2413">
        <v>58.386699999999998</v>
      </c>
      <c r="J2413">
        <v>7500</v>
      </c>
      <c r="K2413" s="28">
        <v>6.4217000000000004</v>
      </c>
    </row>
    <row r="2414" spans="1:12" x14ac:dyDescent="0.2">
      <c r="A2414" s="28" t="s">
        <v>7</v>
      </c>
      <c r="B2414" s="2" t="s">
        <v>29</v>
      </c>
      <c r="C2414" s="30">
        <v>0.5</v>
      </c>
      <c r="D2414" s="28">
        <f>YEAR(TableauFlitrage[[#This Row],[Date_d_adjudication]])</f>
        <v>2025</v>
      </c>
      <c r="E2414" s="28">
        <f t="shared" si="41"/>
        <v>3</v>
      </c>
      <c r="F2414" s="15">
        <v>45726</v>
      </c>
      <c r="G2414" s="28">
        <v>96.590220000000002</v>
      </c>
      <c r="H2414" s="15">
        <v>45910</v>
      </c>
      <c r="I2414">
        <v>92.42</v>
      </c>
      <c r="J2414">
        <v>25000</v>
      </c>
      <c r="K2414" s="28">
        <v>6.9827000000000004</v>
      </c>
    </row>
    <row r="2415" spans="1:12" x14ac:dyDescent="0.2">
      <c r="A2415" s="28" t="s">
        <v>10</v>
      </c>
      <c r="B2415" s="2" t="s">
        <v>29</v>
      </c>
      <c r="C2415" s="30">
        <v>1</v>
      </c>
      <c r="D2415" s="28">
        <f>YEAR(TableauFlitrage[[#This Row],[Date_d_adjudication]])</f>
        <v>2025</v>
      </c>
      <c r="E2415" s="28">
        <f t="shared" si="41"/>
        <v>3</v>
      </c>
      <c r="F2415" s="15">
        <v>45727</v>
      </c>
      <c r="G2415" s="28">
        <v>93.358335999999994</v>
      </c>
      <c r="H2415" s="15">
        <v>46093</v>
      </c>
      <c r="I2415">
        <v>69.726699999999994</v>
      </c>
      <c r="J2415">
        <v>15000</v>
      </c>
      <c r="K2415" s="28">
        <v>7.0359999999999996</v>
      </c>
    </row>
    <row r="2416" spans="1:12" x14ac:dyDescent="0.2">
      <c r="A2416" s="28" t="s">
        <v>9</v>
      </c>
      <c r="B2416" s="2" t="s">
        <v>29</v>
      </c>
      <c r="C2416" s="30">
        <v>0.25</v>
      </c>
      <c r="D2416" s="28">
        <f>YEAR(TableauFlitrage[[#This Row],[Date_d_adjudication]])</f>
        <v>2025</v>
      </c>
      <c r="E2416" s="28">
        <f t="shared" si="41"/>
        <v>3</v>
      </c>
      <c r="F2416" s="15">
        <v>45728</v>
      </c>
      <c r="G2416" s="28">
        <v>98.366061000000002</v>
      </c>
      <c r="H2416" s="15">
        <v>45821</v>
      </c>
      <c r="I2416">
        <v>101.12</v>
      </c>
      <c r="J2416">
        <v>7500</v>
      </c>
      <c r="K2416" s="28">
        <v>6.5712999999999999</v>
      </c>
    </row>
    <row r="2417" spans="1:12" x14ac:dyDescent="0.2">
      <c r="A2417" s="28" t="s">
        <v>11</v>
      </c>
      <c r="B2417" t="s">
        <v>30</v>
      </c>
      <c r="C2417" s="30" t="s">
        <v>54</v>
      </c>
      <c r="D2417" s="28">
        <f>YEAR(TableauFlitrage[[#This Row],[Date_d_adjudication]])</f>
        <v>2025</v>
      </c>
      <c r="E2417" s="28">
        <f t="shared" si="41"/>
        <v>3</v>
      </c>
      <c r="F2417" s="15">
        <v>45728</v>
      </c>
      <c r="G2417" s="28">
        <v>90.157300000000006</v>
      </c>
      <c r="H2417" s="15">
        <v>46826</v>
      </c>
      <c r="I2417">
        <v>74.796899999999994</v>
      </c>
      <c r="J2417">
        <v>30000</v>
      </c>
      <c r="K2417" s="28">
        <v>6.5</v>
      </c>
      <c r="L2417">
        <v>10.4</v>
      </c>
    </row>
    <row r="2418" spans="1:12" x14ac:dyDescent="0.2">
      <c r="A2418" s="28" t="s">
        <v>7</v>
      </c>
      <c r="B2418" t="s">
        <v>30</v>
      </c>
      <c r="C2418" s="30" t="s">
        <v>58</v>
      </c>
      <c r="D2418" s="28">
        <f>YEAR(TableauFlitrage[[#This Row],[Date_d_adjudication]])</f>
        <v>2025</v>
      </c>
      <c r="E2418" s="28">
        <f t="shared" si="41"/>
        <v>3</v>
      </c>
      <c r="F2418" s="15">
        <v>45733</v>
      </c>
      <c r="G2418" s="28">
        <v>93.6721</v>
      </c>
      <c r="H2418" s="15">
        <v>48292</v>
      </c>
      <c r="I2418">
        <v>27.923200000000001</v>
      </c>
      <c r="J2418">
        <v>20000</v>
      </c>
      <c r="K2418" s="28">
        <v>7.5</v>
      </c>
      <c r="L2418">
        <v>8.73</v>
      </c>
    </row>
    <row r="2419" spans="1:12" x14ac:dyDescent="0.2">
      <c r="A2419" s="28" t="s">
        <v>7</v>
      </c>
      <c r="B2419" t="s">
        <v>30</v>
      </c>
      <c r="C2419" s="30" t="s">
        <v>54</v>
      </c>
      <c r="D2419" s="28">
        <f>YEAR(TableauFlitrage[[#This Row],[Date_d_adjudication]])</f>
        <v>2025</v>
      </c>
      <c r="E2419" s="28">
        <f t="shared" si="41"/>
        <v>3</v>
      </c>
      <c r="F2419" s="15">
        <v>45733</v>
      </c>
      <c r="G2419" s="28">
        <v>95</v>
      </c>
      <c r="H2419" s="15">
        <v>46831</v>
      </c>
      <c r="I2419">
        <v>101.28</v>
      </c>
      <c r="J2419">
        <v>25000</v>
      </c>
      <c r="K2419" s="28">
        <v>6</v>
      </c>
      <c r="L2419">
        <v>7.91</v>
      </c>
    </row>
    <row r="2420" spans="1:12" x14ac:dyDescent="0.2">
      <c r="A2420" s="28" t="s">
        <v>8</v>
      </c>
      <c r="B2420" s="2" t="s">
        <v>29</v>
      </c>
      <c r="C2420" s="30">
        <v>0.25</v>
      </c>
      <c r="D2420" s="28">
        <f>YEAR(TableauFlitrage[[#This Row],[Date_d_adjudication]])</f>
        <v>2025</v>
      </c>
      <c r="E2420" s="28">
        <f t="shared" si="41"/>
        <v>3</v>
      </c>
      <c r="F2420" s="15">
        <v>45734</v>
      </c>
      <c r="G2420" s="28">
        <v>98.230711999999997</v>
      </c>
      <c r="H2420" s="15">
        <v>45827</v>
      </c>
      <c r="I2420">
        <v>71.505700000000004</v>
      </c>
      <c r="J2420">
        <v>35000</v>
      </c>
      <c r="K2420" s="28">
        <v>7.1254999999999997</v>
      </c>
    </row>
    <row r="2421" spans="1:12" x14ac:dyDescent="0.2">
      <c r="A2421" s="28" t="s">
        <v>8</v>
      </c>
      <c r="B2421" s="2" t="s">
        <v>29</v>
      </c>
      <c r="C2421" s="30">
        <v>0.5</v>
      </c>
      <c r="D2421" s="28">
        <f>YEAR(TableauFlitrage[[#This Row],[Date_d_adjudication]])</f>
        <v>2025</v>
      </c>
      <c r="E2421" s="28">
        <f t="shared" si="41"/>
        <v>3</v>
      </c>
      <c r="F2421" s="15">
        <v>45734</v>
      </c>
      <c r="G2421" s="28">
        <v>96.502664999999993</v>
      </c>
      <c r="H2421" s="15">
        <v>45918</v>
      </c>
      <c r="I2421">
        <v>62.304000000000002</v>
      </c>
      <c r="J2421">
        <v>25000</v>
      </c>
      <c r="K2421" s="28">
        <v>7.1684999999999999</v>
      </c>
    </row>
    <row r="2422" spans="1:12" x14ac:dyDescent="0.2">
      <c r="A2422" s="28" t="s">
        <v>8</v>
      </c>
      <c r="B2422" t="s">
        <v>30</v>
      </c>
      <c r="C2422" s="30" t="s">
        <v>53</v>
      </c>
      <c r="D2422" s="28">
        <f>YEAR(TableauFlitrage[[#This Row],[Date_d_adjudication]])</f>
        <v>2025</v>
      </c>
      <c r="E2422" s="28">
        <f t="shared" si="41"/>
        <v>3</v>
      </c>
      <c r="F2422" s="15">
        <v>45734</v>
      </c>
      <c r="G2422" s="28">
        <v>101.8674</v>
      </c>
      <c r="H2422" s="15">
        <v>46137</v>
      </c>
      <c r="I2422">
        <v>149.375</v>
      </c>
      <c r="J2422">
        <v>4000</v>
      </c>
      <c r="K2422" s="28">
        <v>5.4</v>
      </c>
      <c r="L2422">
        <v>3.48</v>
      </c>
    </row>
    <row r="2423" spans="1:12" x14ac:dyDescent="0.2">
      <c r="A2423" s="28" t="s">
        <v>8</v>
      </c>
      <c r="B2423" t="s">
        <v>30</v>
      </c>
      <c r="C2423" s="30" t="s">
        <v>53</v>
      </c>
      <c r="D2423" s="28">
        <f>YEAR(TableauFlitrage[[#This Row],[Date_d_adjudication]])</f>
        <v>2025</v>
      </c>
      <c r="E2423" s="28">
        <f t="shared" si="41"/>
        <v>3</v>
      </c>
      <c r="F2423" s="15">
        <v>45734</v>
      </c>
      <c r="G2423" s="28">
        <v>93.5</v>
      </c>
      <c r="H2423" s="15">
        <v>46466</v>
      </c>
      <c r="I2423">
        <v>53.256</v>
      </c>
      <c r="J2423">
        <v>25000</v>
      </c>
      <c r="K2423" s="28">
        <v>5.75</v>
      </c>
      <c r="L2423">
        <v>9.39</v>
      </c>
    </row>
    <row r="2424" spans="1:12" x14ac:dyDescent="0.2">
      <c r="A2424" s="28" t="s">
        <v>8</v>
      </c>
      <c r="B2424" t="s">
        <v>30</v>
      </c>
      <c r="C2424" s="30" t="s">
        <v>55</v>
      </c>
      <c r="D2424" s="28">
        <f>YEAR(TableauFlitrage[[#This Row],[Date_d_adjudication]])</f>
        <v>2025</v>
      </c>
      <c r="E2424" s="28">
        <f t="shared" si="41"/>
        <v>3</v>
      </c>
      <c r="F2424" s="15">
        <v>45734</v>
      </c>
      <c r="G2424" s="28">
        <v>101.3767</v>
      </c>
      <c r="H2424" s="15">
        <v>46219</v>
      </c>
      <c r="I2424">
        <v>338.9982</v>
      </c>
      <c r="J2424">
        <v>5500</v>
      </c>
      <c r="K2424" s="28">
        <v>6.5</v>
      </c>
      <c r="L2424">
        <v>5.07</v>
      </c>
    </row>
    <row r="2425" spans="1:12" x14ac:dyDescent="0.2">
      <c r="A2425" s="28" t="s">
        <v>8</v>
      </c>
      <c r="B2425" t="s">
        <v>30</v>
      </c>
      <c r="C2425" s="30" t="s">
        <v>56</v>
      </c>
      <c r="D2425" s="28">
        <f>YEAR(TableauFlitrage[[#This Row],[Date_d_adjudication]])</f>
        <v>2025</v>
      </c>
      <c r="E2425" s="28">
        <f t="shared" ref="E2425:E2451" si="42">MONTH(F2425)</f>
        <v>3</v>
      </c>
      <c r="F2425" s="15">
        <v>45734</v>
      </c>
      <c r="G2425" s="28">
        <v>98.367599999999996</v>
      </c>
      <c r="H2425" s="15">
        <v>46329</v>
      </c>
      <c r="I2425">
        <v>54.818199999999997</v>
      </c>
      <c r="J2425">
        <v>5500</v>
      </c>
      <c r="K2425" s="28">
        <v>6.3</v>
      </c>
      <c r="L2425">
        <v>7.19</v>
      </c>
    </row>
    <row r="2426" spans="1:12" x14ac:dyDescent="0.2">
      <c r="A2426" s="28" t="s">
        <v>9</v>
      </c>
      <c r="B2426" s="2" t="s">
        <v>29</v>
      </c>
      <c r="C2426" s="30">
        <v>0.5</v>
      </c>
      <c r="D2426" s="28">
        <f>YEAR(TableauFlitrage[[#This Row],[Date_d_adjudication]])</f>
        <v>2025</v>
      </c>
      <c r="E2426" s="28">
        <f t="shared" si="42"/>
        <v>3</v>
      </c>
      <c r="F2426" s="15">
        <v>45735</v>
      </c>
      <c r="G2426" s="28">
        <v>96.804182999999995</v>
      </c>
      <c r="H2426" s="15">
        <v>45919</v>
      </c>
      <c r="I2426">
        <v>59.346699999999998</v>
      </c>
      <c r="J2426">
        <v>7500</v>
      </c>
      <c r="K2426" s="28">
        <v>6.5301</v>
      </c>
    </row>
    <row r="2427" spans="1:12" x14ac:dyDescent="0.2">
      <c r="A2427" s="28" t="s">
        <v>9</v>
      </c>
      <c r="B2427" s="2" t="s">
        <v>29</v>
      </c>
      <c r="C2427" s="30">
        <v>0.5</v>
      </c>
      <c r="D2427" s="28">
        <f>YEAR(TableauFlitrage[[#This Row],[Date_d_adjudication]])</f>
        <v>2025</v>
      </c>
      <c r="E2427" s="28">
        <f t="shared" si="42"/>
        <v>3</v>
      </c>
      <c r="F2427" s="15">
        <v>45735</v>
      </c>
      <c r="G2427" s="28">
        <v>96.713888999999995</v>
      </c>
      <c r="H2427" s="15">
        <v>45919</v>
      </c>
      <c r="I2427">
        <v>100</v>
      </c>
      <c r="J2427">
        <v>20000</v>
      </c>
      <c r="K2427" s="28">
        <v>6.7209000000000003</v>
      </c>
    </row>
    <row r="2428" spans="1:12" x14ac:dyDescent="0.2">
      <c r="A2428" s="28" t="s">
        <v>9</v>
      </c>
      <c r="B2428" s="2" t="s">
        <v>29</v>
      </c>
      <c r="C2428" s="30">
        <v>1</v>
      </c>
      <c r="D2428" s="28">
        <f>YEAR(TableauFlitrage[[#This Row],[Date_d_adjudication]])</f>
        <v>2025</v>
      </c>
      <c r="E2428" s="28">
        <f t="shared" si="42"/>
        <v>3</v>
      </c>
      <c r="F2428" s="15">
        <v>45735</v>
      </c>
      <c r="G2428" s="28">
        <v>93.427778000000004</v>
      </c>
      <c r="H2428" s="15">
        <v>46101</v>
      </c>
      <c r="I2428">
        <v>115.1</v>
      </c>
      <c r="J2428">
        <v>10000</v>
      </c>
      <c r="K2428" s="28">
        <v>6.9572000000000003</v>
      </c>
    </row>
    <row r="2429" spans="1:12" x14ac:dyDescent="0.2">
      <c r="A2429" s="28" t="s">
        <v>11</v>
      </c>
      <c r="B2429" s="2" t="s">
        <v>29</v>
      </c>
      <c r="C2429" s="30">
        <v>0.5</v>
      </c>
      <c r="D2429" s="28">
        <f>YEAR(TableauFlitrage[[#This Row],[Date_d_adjudication]])</f>
        <v>2025</v>
      </c>
      <c r="E2429" s="28">
        <f t="shared" si="42"/>
        <v>3</v>
      </c>
      <c r="F2429" s="15">
        <v>45735</v>
      </c>
      <c r="G2429" s="28">
        <v>96.662502000000003</v>
      </c>
      <c r="H2429" s="15">
        <v>45919</v>
      </c>
      <c r="I2429">
        <v>57.76</v>
      </c>
      <c r="J2429">
        <v>25000</v>
      </c>
      <c r="K2429" s="28">
        <v>6.8296000000000001</v>
      </c>
    </row>
    <row r="2430" spans="1:12" x14ac:dyDescent="0.2">
      <c r="A2430" s="28" t="s">
        <v>9</v>
      </c>
      <c r="B2430" t="s">
        <v>30</v>
      </c>
      <c r="C2430" s="30" t="s">
        <v>54</v>
      </c>
      <c r="D2430" s="28">
        <f>YEAR(TableauFlitrage[[#This Row],[Date_d_adjudication]])</f>
        <v>2025</v>
      </c>
      <c r="E2430" s="28">
        <f t="shared" si="42"/>
        <v>3</v>
      </c>
      <c r="F2430" s="15">
        <v>45735</v>
      </c>
      <c r="G2430" s="28">
        <v>90</v>
      </c>
      <c r="H2430" s="15">
        <v>46833</v>
      </c>
      <c r="I2430">
        <v>52.631599999999999</v>
      </c>
      <c r="J2430">
        <v>9500</v>
      </c>
      <c r="K2430" s="28">
        <v>5.75</v>
      </c>
      <c r="L2430">
        <v>9.67</v>
      </c>
    </row>
    <row r="2431" spans="1:12" x14ac:dyDescent="0.2">
      <c r="A2431" s="28" t="s">
        <v>11</v>
      </c>
      <c r="B2431" t="s">
        <v>30</v>
      </c>
      <c r="C2431" s="30" t="s">
        <v>54</v>
      </c>
      <c r="D2431" s="28">
        <f>YEAR(TableauFlitrage[[#This Row],[Date_d_adjudication]])</f>
        <v>2025</v>
      </c>
      <c r="E2431" s="28">
        <f t="shared" si="42"/>
        <v>3</v>
      </c>
      <c r="F2431" s="15">
        <v>45735</v>
      </c>
      <c r="G2431" s="28">
        <v>90.014300000000006</v>
      </c>
      <c r="H2431" s="15">
        <v>46833</v>
      </c>
      <c r="I2431">
        <v>67.4024</v>
      </c>
      <c r="J2431">
        <v>20000</v>
      </c>
      <c r="K2431" s="28">
        <v>6.5</v>
      </c>
      <c r="L2431">
        <v>10.46</v>
      </c>
    </row>
    <row r="2432" spans="1:12" x14ac:dyDescent="0.2">
      <c r="A2432" s="28" t="s">
        <v>7</v>
      </c>
      <c r="B2432" s="2" t="s">
        <v>29</v>
      </c>
      <c r="C2432" s="30">
        <v>0.5</v>
      </c>
      <c r="D2432" s="28">
        <f>YEAR(TableauFlitrage[[#This Row],[Date_d_adjudication]])</f>
        <v>2025</v>
      </c>
      <c r="E2432" s="28">
        <f t="shared" si="42"/>
        <v>3</v>
      </c>
      <c r="F2432" s="15">
        <v>45740</v>
      </c>
      <c r="G2432" s="28">
        <v>96.620992000000001</v>
      </c>
      <c r="H2432" s="15">
        <v>45924</v>
      </c>
      <c r="I2432">
        <v>40.643300000000004</v>
      </c>
      <c r="J2432">
        <v>30000</v>
      </c>
      <c r="K2432" s="28">
        <v>6.9175000000000004</v>
      </c>
    </row>
    <row r="2433" spans="1:12" x14ac:dyDescent="0.2">
      <c r="A2433" s="28" t="s">
        <v>7</v>
      </c>
      <c r="B2433" t="s">
        <v>30</v>
      </c>
      <c r="C2433" s="30" t="s">
        <v>56</v>
      </c>
      <c r="D2433" s="28">
        <f>YEAR(TableauFlitrage[[#This Row],[Date_d_adjudication]])</f>
        <v>2025</v>
      </c>
      <c r="E2433" s="28">
        <f t="shared" si="42"/>
        <v>3</v>
      </c>
      <c r="F2433" s="15">
        <v>45740</v>
      </c>
      <c r="G2433" s="28">
        <v>95</v>
      </c>
      <c r="H2433" s="15">
        <v>47203</v>
      </c>
      <c r="I2433">
        <v>8.0399999999999991</v>
      </c>
      <c r="J2433">
        <v>25000</v>
      </c>
      <c r="K2433" s="28">
        <v>6.5</v>
      </c>
      <c r="L2433">
        <v>7.99</v>
      </c>
    </row>
    <row r="2434" spans="1:12" x14ac:dyDescent="0.2">
      <c r="A2434" s="28" t="s">
        <v>8</v>
      </c>
      <c r="B2434" s="2" t="s">
        <v>29</v>
      </c>
      <c r="C2434" s="30">
        <v>0.25</v>
      </c>
      <c r="D2434" s="28">
        <f>YEAR(TableauFlitrage[[#This Row],[Date_d_adjudication]])</f>
        <v>2025</v>
      </c>
      <c r="E2434" s="28">
        <f t="shared" si="42"/>
        <v>3</v>
      </c>
      <c r="F2434" s="15">
        <v>45741</v>
      </c>
      <c r="G2434" s="28">
        <v>98.245485000000002</v>
      </c>
      <c r="H2434" s="15">
        <v>45834</v>
      </c>
      <c r="I2434">
        <v>53.625700000000002</v>
      </c>
      <c r="J2434">
        <v>35000</v>
      </c>
      <c r="K2434" s="28">
        <v>7.0648999999999997</v>
      </c>
    </row>
    <row r="2435" spans="1:12" x14ac:dyDescent="0.2">
      <c r="A2435" s="28" t="s">
        <v>8</v>
      </c>
      <c r="B2435" s="2" t="s">
        <v>29</v>
      </c>
      <c r="C2435" s="30">
        <v>0.5</v>
      </c>
      <c r="D2435" s="28">
        <f>YEAR(TableauFlitrage[[#This Row],[Date_d_adjudication]])</f>
        <v>2025</v>
      </c>
      <c r="E2435" s="28">
        <f t="shared" si="42"/>
        <v>3</v>
      </c>
      <c r="F2435" s="15">
        <v>45741</v>
      </c>
      <c r="G2435" s="28">
        <v>96.595016999999999</v>
      </c>
      <c r="H2435" s="15">
        <v>45925</v>
      </c>
      <c r="I2435">
        <v>9.2680000000000007</v>
      </c>
      <c r="J2435">
        <v>25000</v>
      </c>
      <c r="K2435" s="28">
        <v>6.9725000000000001</v>
      </c>
    </row>
    <row r="2436" spans="1:12" x14ac:dyDescent="0.2">
      <c r="A2436" s="28" t="s">
        <v>10</v>
      </c>
      <c r="B2436" s="2" t="s">
        <v>29</v>
      </c>
      <c r="C2436" s="30">
        <v>1</v>
      </c>
      <c r="D2436" s="28">
        <f>YEAR(TableauFlitrage[[#This Row],[Date_d_adjudication]])</f>
        <v>2025</v>
      </c>
      <c r="E2436" s="28">
        <f t="shared" si="42"/>
        <v>3</v>
      </c>
      <c r="F2436" s="15">
        <v>45741</v>
      </c>
      <c r="G2436" s="28">
        <v>93.204678999999999</v>
      </c>
      <c r="H2436" s="15">
        <v>46107</v>
      </c>
      <c r="I2436">
        <v>99.933300000000003</v>
      </c>
      <c r="J2436">
        <v>15000</v>
      </c>
      <c r="K2436" s="28">
        <v>7.2106000000000003</v>
      </c>
    </row>
    <row r="2437" spans="1:12" x14ac:dyDescent="0.2">
      <c r="A2437" s="28" t="s">
        <v>8</v>
      </c>
      <c r="B2437" t="s">
        <v>30</v>
      </c>
      <c r="C2437" s="30" t="s">
        <v>53</v>
      </c>
      <c r="D2437" s="28">
        <f>YEAR(TableauFlitrage[[#This Row],[Date_d_adjudication]])</f>
        <v>2025</v>
      </c>
      <c r="E2437" s="28">
        <f t="shared" si="42"/>
        <v>3</v>
      </c>
      <c r="F2437" s="15">
        <v>45741</v>
      </c>
      <c r="G2437" s="28">
        <v>90.065899999999999</v>
      </c>
      <c r="H2437" s="15">
        <v>46473</v>
      </c>
      <c r="I2437">
        <v>35.86</v>
      </c>
      <c r="J2437">
        <v>20000</v>
      </c>
      <c r="K2437" s="28">
        <v>5.75</v>
      </c>
      <c r="L2437">
        <v>11.45</v>
      </c>
    </row>
    <row r="2438" spans="1:12" x14ac:dyDescent="0.2">
      <c r="A2438" s="28" t="s">
        <v>8</v>
      </c>
      <c r="B2438" t="s">
        <v>30</v>
      </c>
      <c r="C2438" s="30" t="s">
        <v>55</v>
      </c>
      <c r="D2438" s="28">
        <f>YEAR(TableauFlitrage[[#This Row],[Date_d_adjudication]])</f>
        <v>2025</v>
      </c>
      <c r="E2438" s="28">
        <f t="shared" si="42"/>
        <v>3</v>
      </c>
      <c r="F2438" s="15">
        <v>45741</v>
      </c>
      <c r="G2438" s="28">
        <v>97.230199999999996</v>
      </c>
      <c r="H2438" s="15">
        <v>46219</v>
      </c>
      <c r="I2438">
        <v>70.8</v>
      </c>
      <c r="J2438">
        <v>20000</v>
      </c>
      <c r="K2438" s="28">
        <v>6.5</v>
      </c>
      <c r="L2438">
        <v>9.4700000000000006</v>
      </c>
    </row>
    <row r="2439" spans="1:12" x14ac:dyDescent="0.2">
      <c r="A2439" s="28" t="s">
        <v>9</v>
      </c>
      <c r="B2439" s="2" t="s">
        <v>29</v>
      </c>
      <c r="C2439" s="30">
        <v>0.5</v>
      </c>
      <c r="D2439" s="28">
        <f>YEAR(TableauFlitrage[[#This Row],[Date_d_adjudication]])</f>
        <v>2025</v>
      </c>
      <c r="E2439" s="28">
        <f t="shared" si="42"/>
        <v>3</v>
      </c>
      <c r="F2439" s="15">
        <v>45742</v>
      </c>
      <c r="G2439" s="28">
        <v>96.716806000000005</v>
      </c>
      <c r="H2439" s="15">
        <v>45926</v>
      </c>
      <c r="I2439">
        <v>63.42</v>
      </c>
      <c r="J2439">
        <v>10000</v>
      </c>
      <c r="K2439" s="28">
        <v>6.7146999999999997</v>
      </c>
    </row>
    <row r="2440" spans="1:12" x14ac:dyDescent="0.2">
      <c r="A2440" s="28" t="s">
        <v>9</v>
      </c>
      <c r="B2440" s="2" t="s">
        <v>29</v>
      </c>
      <c r="C2440" s="30">
        <v>1</v>
      </c>
      <c r="D2440" s="28">
        <f>YEAR(TableauFlitrage[[#This Row],[Date_d_adjudication]])</f>
        <v>2025</v>
      </c>
      <c r="E2440" s="28">
        <f t="shared" si="42"/>
        <v>3</v>
      </c>
      <c r="F2440" s="15">
        <v>45742</v>
      </c>
      <c r="G2440" s="28">
        <v>93.175374000000005</v>
      </c>
      <c r="H2440" s="15">
        <v>46107</v>
      </c>
      <c r="I2440">
        <v>68.59</v>
      </c>
      <c r="J2440">
        <v>20000</v>
      </c>
      <c r="K2440" s="28">
        <v>7.2439999999999998</v>
      </c>
    </row>
    <row r="2441" spans="1:12" x14ac:dyDescent="0.2">
      <c r="A2441" s="28" t="s">
        <v>9</v>
      </c>
      <c r="B2441" t="s">
        <v>30</v>
      </c>
      <c r="C2441" s="30" t="s">
        <v>54</v>
      </c>
      <c r="D2441" s="28">
        <f>YEAR(TableauFlitrage[[#This Row],[Date_d_adjudication]])</f>
        <v>2025</v>
      </c>
      <c r="E2441" s="28">
        <f t="shared" si="42"/>
        <v>3</v>
      </c>
      <c r="F2441" s="15">
        <v>45742</v>
      </c>
      <c r="G2441" s="28">
        <v>90.466300000000004</v>
      </c>
      <c r="H2441" s="15">
        <v>46840</v>
      </c>
      <c r="I2441">
        <v>61.406700000000001</v>
      </c>
      <c r="J2441">
        <v>15000</v>
      </c>
      <c r="K2441" s="28">
        <v>5.75</v>
      </c>
      <c r="L2441">
        <v>9.48</v>
      </c>
    </row>
    <row r="2442" spans="1:12" x14ac:dyDescent="0.2">
      <c r="A2442" s="28" t="s">
        <v>9</v>
      </c>
      <c r="B2442" t="s">
        <v>30</v>
      </c>
      <c r="C2442" s="30" t="s">
        <v>56</v>
      </c>
      <c r="D2442" s="28">
        <f>YEAR(TableauFlitrage[[#This Row],[Date_d_adjudication]])</f>
        <v>2025</v>
      </c>
      <c r="E2442" s="28">
        <f t="shared" si="42"/>
        <v>3</v>
      </c>
      <c r="F2442" s="15">
        <v>45742</v>
      </c>
      <c r="G2442" s="28">
        <v>90</v>
      </c>
      <c r="H2442" s="15">
        <v>47205</v>
      </c>
      <c r="I2442">
        <v>57.45</v>
      </c>
      <c r="J2442">
        <v>15000</v>
      </c>
      <c r="K2442" s="28">
        <v>6.5</v>
      </c>
      <c r="L2442">
        <v>9.57</v>
      </c>
    </row>
    <row r="2443" spans="1:12" x14ac:dyDescent="0.2">
      <c r="A2443" s="28" t="s">
        <v>9</v>
      </c>
      <c r="B2443" t="s">
        <v>30</v>
      </c>
      <c r="C2443" s="30" t="s">
        <v>58</v>
      </c>
      <c r="D2443" s="28">
        <f>YEAR(TableauFlitrage[[#This Row],[Date_d_adjudication]])</f>
        <v>2025</v>
      </c>
      <c r="E2443" s="28">
        <f t="shared" si="42"/>
        <v>3</v>
      </c>
      <c r="F2443" s="15">
        <v>45742</v>
      </c>
      <c r="G2443" s="28">
        <v>92.405699999999996</v>
      </c>
      <c r="H2443" s="15">
        <v>47818</v>
      </c>
      <c r="I2443">
        <v>24.078600000000002</v>
      </c>
      <c r="J2443">
        <v>7000</v>
      </c>
      <c r="K2443" s="28">
        <v>7.5</v>
      </c>
      <c r="L2443">
        <v>9.17</v>
      </c>
    </row>
    <row r="2444" spans="1:12" x14ac:dyDescent="0.2">
      <c r="A2444" s="28" t="s">
        <v>7</v>
      </c>
      <c r="B2444" s="2" t="s">
        <v>29</v>
      </c>
      <c r="C2444" s="30">
        <v>0.5</v>
      </c>
      <c r="D2444" s="28">
        <f>YEAR(TableauFlitrage[[#This Row],[Date_d_adjudication]])</f>
        <v>2025</v>
      </c>
      <c r="E2444" s="28">
        <f t="shared" si="42"/>
        <v>3</v>
      </c>
      <c r="F2444" s="15">
        <v>45747</v>
      </c>
      <c r="G2444" s="28">
        <v>96.741219999999998</v>
      </c>
      <c r="H2444" s="15">
        <v>45931</v>
      </c>
      <c r="I2444">
        <v>114.8</v>
      </c>
      <c r="J2444">
        <v>10000</v>
      </c>
      <c r="K2444" s="28">
        <v>6.65</v>
      </c>
    </row>
    <row r="2445" spans="1:12" x14ac:dyDescent="0.2">
      <c r="A2445" s="28" t="s">
        <v>7</v>
      </c>
      <c r="B2445" s="2" t="s">
        <v>29</v>
      </c>
      <c r="C2445" s="30">
        <v>1</v>
      </c>
      <c r="D2445" s="28">
        <f>YEAR(TableauFlitrage[[#This Row],[Date_d_adjudication]])</f>
        <v>2025</v>
      </c>
      <c r="E2445" s="28">
        <f t="shared" si="42"/>
        <v>3</v>
      </c>
      <c r="F2445" s="15">
        <v>45747</v>
      </c>
      <c r="G2445" s="28">
        <v>93.207194999999999</v>
      </c>
      <c r="H2445" s="15">
        <v>46113</v>
      </c>
      <c r="I2445">
        <v>75.16</v>
      </c>
      <c r="J2445">
        <v>10000</v>
      </c>
      <c r="K2445" s="28">
        <v>7.2077999999999998</v>
      </c>
    </row>
    <row r="2446" spans="1:12" x14ac:dyDescent="0.2">
      <c r="A2446" s="28" t="s">
        <v>8</v>
      </c>
      <c r="B2446" s="2" t="s">
        <v>29</v>
      </c>
      <c r="C2446" s="30">
        <v>0.5</v>
      </c>
      <c r="D2446" s="28">
        <f>YEAR(TableauFlitrage[[#This Row],[Date_d_adjudication]])</f>
        <v>2025</v>
      </c>
      <c r="E2446" s="28">
        <f t="shared" si="42"/>
        <v>4</v>
      </c>
      <c r="F2446" s="15">
        <v>45748</v>
      </c>
      <c r="G2446" s="28">
        <v>96.629183999999995</v>
      </c>
      <c r="H2446" s="15">
        <v>45932</v>
      </c>
      <c r="I2446">
        <v>13.7333</v>
      </c>
      <c r="J2446">
        <v>15000</v>
      </c>
      <c r="K2446" s="28">
        <v>6.9001000000000001</v>
      </c>
    </row>
    <row r="2447" spans="1:12" x14ac:dyDescent="0.2">
      <c r="A2447" s="28" t="s">
        <v>10</v>
      </c>
      <c r="B2447" t="s">
        <v>30</v>
      </c>
      <c r="C2447" s="30" t="s">
        <v>53</v>
      </c>
      <c r="D2447" s="28">
        <f>YEAR(TableauFlitrage[[#This Row],[Date_d_adjudication]])</f>
        <v>2025</v>
      </c>
      <c r="E2447" s="28">
        <f t="shared" si="42"/>
        <v>4</v>
      </c>
      <c r="F2447" s="15">
        <v>45748</v>
      </c>
      <c r="G2447" s="28">
        <v>92.535399999999996</v>
      </c>
      <c r="H2447" s="15">
        <v>46480</v>
      </c>
      <c r="I2447">
        <v>114.636</v>
      </c>
      <c r="J2447">
        <v>50000</v>
      </c>
      <c r="K2447" s="28">
        <v>6.5</v>
      </c>
      <c r="L2447">
        <v>10.75</v>
      </c>
    </row>
    <row r="2448" spans="1:12" x14ac:dyDescent="0.2">
      <c r="A2448" s="28" t="s">
        <v>9</v>
      </c>
      <c r="B2448" s="2" t="s">
        <v>29</v>
      </c>
      <c r="C2448" s="30">
        <v>1</v>
      </c>
      <c r="D2448" s="28">
        <f>YEAR(TableauFlitrage[[#This Row],[Date_d_adjudication]])</f>
        <v>2025</v>
      </c>
      <c r="E2448" s="28">
        <f t="shared" si="42"/>
        <v>4</v>
      </c>
      <c r="F2448" s="15">
        <v>45749</v>
      </c>
      <c r="G2448" s="28">
        <v>93.175374000000005</v>
      </c>
      <c r="H2448" s="15">
        <v>46108</v>
      </c>
      <c r="I2448">
        <v>68.59</v>
      </c>
      <c r="J2448">
        <v>20000</v>
      </c>
      <c r="K2448" s="28">
        <v>7.2439999999999998</v>
      </c>
    </row>
    <row r="2449" spans="1:12" x14ac:dyDescent="0.2">
      <c r="A2449" s="28" t="s">
        <v>11</v>
      </c>
      <c r="B2449" t="s">
        <v>30</v>
      </c>
      <c r="C2449" s="30" t="s">
        <v>54</v>
      </c>
      <c r="D2449" s="28">
        <f>YEAR(TableauFlitrage[[#This Row],[Date_d_adjudication]])</f>
        <v>2025</v>
      </c>
      <c r="E2449" s="28">
        <f t="shared" si="42"/>
        <v>4</v>
      </c>
      <c r="F2449" s="15">
        <v>45749</v>
      </c>
      <c r="G2449" s="28">
        <v>90.004099999999994</v>
      </c>
      <c r="H2449" s="15">
        <v>46847</v>
      </c>
      <c r="I2449">
        <v>32.64</v>
      </c>
      <c r="J2449">
        <v>15000</v>
      </c>
      <c r="K2449" s="28">
        <v>6.5</v>
      </c>
      <c r="L2449">
        <v>10.47</v>
      </c>
    </row>
    <row r="2450" spans="1:12" x14ac:dyDescent="0.2">
      <c r="A2450" s="28" t="s">
        <v>7</v>
      </c>
      <c r="B2450" s="2" t="s">
        <v>29</v>
      </c>
      <c r="C2450" s="30">
        <v>1</v>
      </c>
      <c r="D2450" s="28">
        <f>YEAR(TableauFlitrage[[#This Row],[Date_d_adjudication]])</f>
        <v>2025</v>
      </c>
      <c r="E2450" s="28">
        <f t="shared" si="42"/>
        <v>4</v>
      </c>
      <c r="F2450" s="15">
        <v>45754</v>
      </c>
      <c r="G2450" s="28">
        <v>93.160762000000005</v>
      </c>
      <c r="H2450" s="15">
        <v>45754</v>
      </c>
      <c r="I2450">
        <v>90.048000000000002</v>
      </c>
      <c r="J2450">
        <v>25000</v>
      </c>
      <c r="K2450" s="28">
        <v>7.2606999999999999</v>
      </c>
    </row>
    <row r="2451" spans="1:12" x14ac:dyDescent="0.2">
      <c r="A2451" s="28" t="s">
        <v>7</v>
      </c>
      <c r="B2451" t="s">
        <v>30</v>
      </c>
      <c r="C2451" s="30" t="s">
        <v>54</v>
      </c>
      <c r="D2451" s="28">
        <f>YEAR(TableauFlitrage[[#This Row],[Date_d_adjudication]])</f>
        <v>2025</v>
      </c>
      <c r="E2451" s="28">
        <f t="shared" si="42"/>
        <v>4</v>
      </c>
      <c r="F2451" s="15">
        <v>45754</v>
      </c>
      <c r="G2451" s="28">
        <v>95.002799999999993</v>
      </c>
      <c r="H2451" s="15">
        <v>46852</v>
      </c>
      <c r="I2451">
        <v>56.02</v>
      </c>
      <c r="J2451">
        <v>25000</v>
      </c>
      <c r="K2451" s="28">
        <v>6</v>
      </c>
      <c r="L2451">
        <v>7.9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F9FB2-529C-45AE-941A-CAE49AEB2A33}">
  <sheetPr codeName="Feuil4"/>
  <dimension ref="B1:G22"/>
  <sheetViews>
    <sheetView workbookViewId="0">
      <selection activeCell="E18" sqref="E18"/>
    </sheetView>
  </sheetViews>
  <sheetFormatPr defaultColWidth="11.42578125" defaultRowHeight="12.75" x14ac:dyDescent="0.2"/>
  <cols>
    <col min="4" max="4" width="11.28515625" customWidth="1"/>
    <col min="5" max="5" width="12.140625" customWidth="1"/>
    <col min="7" max="7" width="19.42578125" customWidth="1"/>
  </cols>
  <sheetData>
    <row r="1" spans="2:7" x14ac:dyDescent="0.2">
      <c r="B1" t="s">
        <v>0</v>
      </c>
      <c r="C1" t="s">
        <v>25</v>
      </c>
      <c r="D1" t="s">
        <v>26</v>
      </c>
      <c r="E1" t="s">
        <v>27</v>
      </c>
      <c r="F1" t="s">
        <v>28</v>
      </c>
      <c r="G1" s="2" t="s">
        <v>40</v>
      </c>
    </row>
    <row r="2" spans="2:7" x14ac:dyDescent="0.2">
      <c r="B2" t="s">
        <v>7</v>
      </c>
      <c r="C2">
        <v>2011</v>
      </c>
      <c r="D2" t="s">
        <v>17</v>
      </c>
      <c r="E2">
        <v>1</v>
      </c>
      <c r="F2" t="s">
        <v>29</v>
      </c>
      <c r="G2" s="2" t="s">
        <v>41</v>
      </c>
    </row>
    <row r="3" spans="2:7" ht="12.6" customHeight="1" x14ac:dyDescent="0.2">
      <c r="B3" t="s">
        <v>9</v>
      </c>
      <c r="C3">
        <v>2012</v>
      </c>
      <c r="D3" t="s">
        <v>16</v>
      </c>
      <c r="E3">
        <v>2</v>
      </c>
      <c r="F3" t="s">
        <v>30</v>
      </c>
      <c r="G3" s="2" t="s">
        <v>24</v>
      </c>
    </row>
    <row r="4" spans="2:7" ht="12.6" customHeight="1" x14ac:dyDescent="0.2">
      <c r="B4" t="s">
        <v>8</v>
      </c>
      <c r="C4">
        <v>2013</v>
      </c>
      <c r="D4" t="s">
        <v>15</v>
      </c>
      <c r="E4">
        <v>3</v>
      </c>
      <c r="G4" s="2" t="s">
        <v>22</v>
      </c>
    </row>
    <row r="5" spans="2:7" x14ac:dyDescent="0.2">
      <c r="B5" t="s">
        <v>10</v>
      </c>
      <c r="C5">
        <v>2014</v>
      </c>
      <c r="D5" s="2" t="s">
        <v>2</v>
      </c>
      <c r="E5">
        <v>4</v>
      </c>
      <c r="G5" s="2" t="s">
        <v>42</v>
      </c>
    </row>
    <row r="6" spans="2:7" ht="12.6" customHeight="1" x14ac:dyDescent="0.2">
      <c r="B6" t="s">
        <v>11</v>
      </c>
      <c r="C6">
        <v>2015</v>
      </c>
      <c r="D6" t="s">
        <v>3</v>
      </c>
      <c r="E6">
        <v>5</v>
      </c>
      <c r="G6" s="2" t="s">
        <v>43</v>
      </c>
    </row>
    <row r="7" spans="2:7" ht="12.6" customHeight="1" x14ac:dyDescent="0.2">
      <c r="B7" t="s">
        <v>19</v>
      </c>
      <c r="C7">
        <v>2016</v>
      </c>
      <c r="D7" t="s">
        <v>4</v>
      </c>
      <c r="E7">
        <v>6</v>
      </c>
    </row>
    <row r="8" spans="2:7" ht="12.6" customHeight="1" x14ac:dyDescent="0.2">
      <c r="C8">
        <v>2017</v>
      </c>
      <c r="D8" s="2" t="s">
        <v>5</v>
      </c>
      <c r="E8">
        <v>7</v>
      </c>
    </row>
    <row r="9" spans="2:7" ht="12.6" customHeight="1" x14ac:dyDescent="0.2">
      <c r="C9">
        <v>2018</v>
      </c>
      <c r="D9" t="s">
        <v>20</v>
      </c>
      <c r="E9">
        <v>8</v>
      </c>
    </row>
    <row r="10" spans="2:7" ht="12.6" customHeight="1" x14ac:dyDescent="0.2">
      <c r="C10">
        <v>2019</v>
      </c>
      <c r="D10" t="s">
        <v>12</v>
      </c>
      <c r="E10">
        <v>9</v>
      </c>
    </row>
    <row r="11" spans="2:7" ht="12.6" customHeight="1" x14ac:dyDescent="0.2">
      <c r="C11">
        <v>2020</v>
      </c>
      <c r="D11" t="s">
        <v>13</v>
      </c>
      <c r="E11">
        <v>10</v>
      </c>
    </row>
    <row r="12" spans="2:7" ht="12.6" customHeight="1" x14ac:dyDescent="0.2">
      <c r="C12">
        <v>2021</v>
      </c>
      <c r="D12" t="s">
        <v>21</v>
      </c>
      <c r="E12">
        <v>11</v>
      </c>
    </row>
    <row r="13" spans="2:7" ht="12.6" customHeight="1" x14ac:dyDescent="0.2">
      <c r="C13">
        <v>2022</v>
      </c>
      <c r="D13" t="s">
        <v>18</v>
      </c>
      <c r="E13">
        <v>12</v>
      </c>
    </row>
    <row r="14" spans="2:7" ht="12.6" customHeight="1" x14ac:dyDescent="0.2">
      <c r="C14">
        <v>2023</v>
      </c>
    </row>
    <row r="15" spans="2:7" ht="12.6" customHeight="1" x14ac:dyDescent="0.2">
      <c r="C15">
        <v>2024</v>
      </c>
    </row>
    <row r="16" spans="2:7" ht="12.6" customHeight="1" x14ac:dyDescent="0.2">
      <c r="C16">
        <v>2025</v>
      </c>
    </row>
    <row r="17" ht="12.6" customHeight="1" x14ac:dyDescent="0.2"/>
    <row r="18" ht="12.6" customHeight="1" x14ac:dyDescent="0.2"/>
    <row r="20" ht="12.6" customHeight="1" x14ac:dyDescent="0.2"/>
    <row r="21" ht="12.6" customHeight="1" x14ac:dyDescent="0.2"/>
    <row r="22" ht="12.6" customHeight="1" x14ac:dyDescent="0.2"/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Accueil</vt:lpstr>
      <vt:lpstr>formulaire</vt:lpstr>
      <vt:lpstr>Filtrage</vt:lpstr>
      <vt:lpstr>Data</vt:lpstr>
      <vt:lpstr>Liste</vt:lpstr>
      <vt:lpstr>Filtrage!Criteria</vt:lpstr>
      <vt:lpstr>Filtrage!Extract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Agent DRI 04</cp:lastModifiedBy>
  <cp:lastPrinted>2021-12-20T08:56:18Z</cp:lastPrinted>
  <dcterms:created xsi:type="dcterms:W3CDTF">2020-07-28T11:30:51Z</dcterms:created>
  <dcterms:modified xsi:type="dcterms:W3CDTF">2025-04-30T09:54:53Z</dcterms:modified>
</cp:coreProperties>
</file>